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kpn1754763-my.sharepoint.com/personal/info_c-quential_nl/Documents/Algemeen/Development/EVA dummy API/"/>
    </mc:Choice>
  </mc:AlternateContent>
  <xr:revisionPtr revIDLastSave="45" documentId="11_8ECAC90F14CF11BDA5A5FC7461180D78A1F442F3" xr6:coauthVersionLast="47" xr6:coauthVersionMax="47" xr10:uidLastSave="{890FD203-E114-47DF-A680-9EAEFD2D22A4}"/>
  <bookViews>
    <workbookView xWindow="0" yWindow="0" windowWidth="18585" windowHeight="16200" activeTab="1" xr2:uid="{00000000-000D-0000-FFFF-FFFF00000000}"/>
  </bookViews>
  <sheets>
    <sheet name="Toelichting" sheetId="1" r:id="rId1"/>
    <sheet name="Scholingen" sheetId="2" r:id="rId2"/>
    <sheet name="Inschrijvingen" sheetId="3" r:id="rId3"/>
  </sheets>
  <definedNames>
    <definedName name="_xlnm._FilterDatabase" localSheetId="2" hidden="1">Inschrijvingen!$A$1:$H$200</definedName>
    <definedName name="_xlnm._FilterDatabase" localSheetId="1" hidden="1">Scholingen!$A$1:$D$200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3" l="1"/>
  <c r="G12" i="3"/>
  <c r="F12" i="3"/>
  <c r="H11" i="3"/>
  <c r="G11" i="3"/>
  <c r="F11" i="3"/>
  <c r="H10" i="3"/>
  <c r="G10" i="3"/>
  <c r="F10" i="3"/>
  <c r="H200" i="3"/>
  <c r="G200" i="3"/>
  <c r="F200" i="3"/>
  <c r="H199" i="3"/>
  <c r="G199" i="3"/>
  <c r="F199" i="3"/>
  <c r="H198" i="3"/>
  <c r="G198" i="3"/>
  <c r="F198" i="3"/>
  <c r="H197" i="3"/>
  <c r="G197" i="3"/>
  <c r="F197" i="3"/>
  <c r="H196" i="3"/>
  <c r="G196" i="3"/>
  <c r="F196" i="3"/>
  <c r="H195" i="3"/>
  <c r="G195" i="3"/>
  <c r="F195" i="3"/>
  <c r="H194" i="3"/>
  <c r="G194" i="3"/>
  <c r="F194" i="3"/>
  <c r="H193" i="3"/>
  <c r="G193" i="3"/>
  <c r="F193" i="3"/>
  <c r="H192" i="3"/>
  <c r="G192" i="3"/>
  <c r="F192" i="3"/>
  <c r="H191" i="3"/>
  <c r="G191" i="3"/>
  <c r="F191" i="3"/>
  <c r="H190" i="3"/>
  <c r="G190" i="3"/>
  <c r="F190" i="3"/>
  <c r="H189" i="3"/>
  <c r="G189" i="3"/>
  <c r="F189" i="3"/>
  <c r="H188" i="3"/>
  <c r="G188" i="3"/>
  <c r="F188" i="3"/>
  <c r="H187" i="3"/>
  <c r="G187" i="3"/>
  <c r="F187" i="3"/>
  <c r="H186" i="3"/>
  <c r="G186" i="3"/>
  <c r="F186" i="3"/>
  <c r="H185" i="3"/>
  <c r="G185" i="3"/>
  <c r="F185" i="3"/>
  <c r="H184" i="3"/>
  <c r="G184" i="3"/>
  <c r="F184" i="3"/>
  <c r="H183" i="3"/>
  <c r="G183" i="3"/>
  <c r="F183" i="3"/>
  <c r="H182" i="3"/>
  <c r="G182" i="3"/>
  <c r="F182" i="3"/>
  <c r="H181" i="3"/>
  <c r="G181" i="3"/>
  <c r="F181" i="3"/>
  <c r="H180" i="3"/>
  <c r="G180" i="3"/>
  <c r="F180" i="3"/>
  <c r="H179" i="3"/>
  <c r="G179" i="3"/>
  <c r="F179" i="3"/>
  <c r="H178" i="3"/>
  <c r="G178" i="3"/>
  <c r="F178" i="3"/>
  <c r="H177" i="3"/>
  <c r="G177" i="3"/>
  <c r="F177" i="3"/>
  <c r="H176" i="3"/>
  <c r="G176" i="3"/>
  <c r="F176" i="3"/>
  <c r="H175" i="3"/>
  <c r="G175" i="3"/>
  <c r="F175" i="3"/>
  <c r="H174" i="3"/>
  <c r="G174" i="3"/>
  <c r="F174" i="3"/>
  <c r="H173" i="3"/>
  <c r="G173" i="3"/>
  <c r="F173" i="3"/>
  <c r="H172" i="3"/>
  <c r="G172" i="3"/>
  <c r="F172" i="3"/>
  <c r="H171" i="3"/>
  <c r="G171" i="3"/>
  <c r="F171" i="3"/>
  <c r="H170" i="3"/>
  <c r="G170" i="3"/>
  <c r="F170" i="3"/>
  <c r="H169" i="3"/>
  <c r="G169" i="3"/>
  <c r="F169" i="3"/>
  <c r="H168" i="3"/>
  <c r="G168" i="3"/>
  <c r="F168" i="3"/>
  <c r="H167" i="3"/>
  <c r="G167" i="3"/>
  <c r="F167" i="3"/>
  <c r="H166" i="3"/>
  <c r="G166" i="3"/>
  <c r="F166" i="3"/>
  <c r="H165" i="3"/>
  <c r="G165" i="3"/>
  <c r="F165" i="3"/>
  <c r="H164" i="3"/>
  <c r="G164" i="3"/>
  <c r="F164" i="3"/>
  <c r="H163" i="3"/>
  <c r="G163" i="3"/>
  <c r="F163" i="3"/>
  <c r="H162" i="3"/>
  <c r="G162" i="3"/>
  <c r="F162" i="3"/>
  <c r="H161" i="3"/>
  <c r="G161" i="3"/>
  <c r="F161" i="3"/>
  <c r="H160" i="3"/>
  <c r="G160" i="3"/>
  <c r="F160" i="3"/>
  <c r="H159" i="3"/>
  <c r="G159" i="3"/>
  <c r="F159" i="3"/>
  <c r="H158" i="3"/>
  <c r="G158" i="3"/>
  <c r="F158" i="3"/>
  <c r="H157" i="3"/>
  <c r="G157" i="3"/>
  <c r="F157" i="3"/>
  <c r="H156" i="3"/>
  <c r="G156" i="3"/>
  <c r="F156" i="3"/>
  <c r="H155" i="3"/>
  <c r="G155" i="3"/>
  <c r="F155" i="3"/>
  <c r="H154" i="3"/>
  <c r="G154" i="3"/>
  <c r="F154" i="3"/>
  <c r="H153" i="3"/>
  <c r="G153" i="3"/>
  <c r="F153" i="3"/>
  <c r="H152" i="3"/>
  <c r="G152" i="3"/>
  <c r="F152" i="3"/>
  <c r="H151" i="3"/>
  <c r="G151" i="3"/>
  <c r="F151" i="3"/>
  <c r="H150" i="3"/>
  <c r="G150" i="3"/>
  <c r="F150" i="3"/>
  <c r="H149" i="3"/>
  <c r="G149" i="3"/>
  <c r="F149" i="3"/>
  <c r="H148" i="3"/>
  <c r="G148" i="3"/>
  <c r="F148" i="3"/>
  <c r="H147" i="3"/>
  <c r="G147" i="3"/>
  <c r="F147" i="3"/>
  <c r="H146" i="3"/>
  <c r="G146" i="3"/>
  <c r="F146" i="3"/>
  <c r="H145" i="3"/>
  <c r="G145" i="3"/>
  <c r="F145" i="3"/>
  <c r="H144" i="3"/>
  <c r="G144" i="3"/>
  <c r="F144" i="3"/>
  <c r="H143" i="3"/>
  <c r="G143" i="3"/>
  <c r="F143" i="3"/>
  <c r="H142" i="3"/>
  <c r="G142" i="3"/>
  <c r="F142" i="3"/>
  <c r="H141" i="3"/>
  <c r="G141" i="3"/>
  <c r="F141" i="3"/>
  <c r="H140" i="3"/>
  <c r="G140" i="3"/>
  <c r="F140" i="3"/>
  <c r="H139" i="3"/>
  <c r="G139" i="3"/>
  <c r="F139" i="3"/>
  <c r="H138" i="3"/>
  <c r="G138" i="3"/>
  <c r="F138" i="3"/>
  <c r="H137" i="3"/>
  <c r="G137" i="3"/>
  <c r="F137" i="3"/>
  <c r="H136" i="3"/>
  <c r="G136" i="3"/>
  <c r="F136" i="3"/>
  <c r="H135" i="3"/>
  <c r="G135" i="3"/>
  <c r="F135" i="3"/>
  <c r="H134" i="3"/>
  <c r="G134" i="3"/>
  <c r="F134" i="3"/>
  <c r="H133" i="3"/>
  <c r="G133" i="3"/>
  <c r="F133" i="3"/>
  <c r="H132" i="3"/>
  <c r="G132" i="3"/>
  <c r="F132" i="3"/>
  <c r="H131" i="3"/>
  <c r="G131" i="3"/>
  <c r="F131" i="3"/>
  <c r="H130" i="3"/>
  <c r="G130" i="3"/>
  <c r="F130" i="3"/>
  <c r="H129" i="3"/>
  <c r="G129" i="3"/>
  <c r="F129" i="3"/>
  <c r="H128" i="3"/>
  <c r="G128" i="3"/>
  <c r="F128" i="3"/>
  <c r="H127" i="3"/>
  <c r="G127" i="3"/>
  <c r="F127" i="3"/>
  <c r="H126" i="3"/>
  <c r="G126" i="3"/>
  <c r="F126" i="3"/>
  <c r="H125" i="3"/>
  <c r="G125" i="3"/>
  <c r="F125" i="3"/>
  <c r="H124" i="3"/>
  <c r="G124" i="3"/>
  <c r="F124" i="3"/>
  <c r="H123" i="3"/>
  <c r="G123" i="3"/>
  <c r="F123" i="3"/>
  <c r="H122" i="3"/>
  <c r="G122" i="3"/>
  <c r="F122" i="3"/>
  <c r="H121" i="3"/>
  <c r="G121" i="3"/>
  <c r="F121" i="3"/>
  <c r="H120" i="3"/>
  <c r="G120" i="3"/>
  <c r="F120" i="3"/>
  <c r="H119" i="3"/>
  <c r="G119" i="3"/>
  <c r="F119" i="3"/>
  <c r="H118" i="3"/>
  <c r="G118" i="3"/>
  <c r="F118" i="3"/>
  <c r="H117" i="3"/>
  <c r="G117" i="3"/>
  <c r="F117" i="3"/>
  <c r="H116" i="3"/>
  <c r="G116" i="3"/>
  <c r="F116" i="3"/>
  <c r="H115" i="3"/>
  <c r="G115" i="3"/>
  <c r="F115" i="3"/>
  <c r="H114" i="3"/>
  <c r="G114" i="3"/>
  <c r="F114" i="3"/>
  <c r="H113" i="3"/>
  <c r="G113" i="3"/>
  <c r="F113" i="3"/>
  <c r="H112" i="3"/>
  <c r="G112" i="3"/>
  <c r="F112" i="3"/>
  <c r="H111" i="3"/>
  <c r="G111" i="3"/>
  <c r="F111" i="3"/>
  <c r="H110" i="3"/>
  <c r="G110" i="3"/>
  <c r="F110" i="3"/>
  <c r="H109" i="3"/>
  <c r="G109" i="3"/>
  <c r="F109" i="3"/>
  <c r="H108" i="3"/>
  <c r="G108" i="3"/>
  <c r="F108" i="3"/>
  <c r="H107" i="3"/>
  <c r="G107" i="3"/>
  <c r="F107" i="3"/>
  <c r="H106" i="3"/>
  <c r="G106" i="3"/>
  <c r="F106" i="3"/>
  <c r="H105" i="3"/>
  <c r="G105" i="3"/>
  <c r="F105" i="3"/>
  <c r="H104" i="3"/>
  <c r="G104" i="3"/>
  <c r="F104" i="3"/>
  <c r="H103" i="3"/>
  <c r="G103" i="3"/>
  <c r="F103" i="3"/>
  <c r="H102" i="3"/>
  <c r="G102" i="3"/>
  <c r="F102" i="3"/>
  <c r="H101" i="3"/>
  <c r="G101" i="3"/>
  <c r="F101" i="3"/>
  <c r="H100" i="3"/>
  <c r="G100" i="3"/>
  <c r="F100" i="3"/>
  <c r="H99" i="3"/>
  <c r="G99" i="3"/>
  <c r="F99" i="3"/>
  <c r="H98" i="3"/>
  <c r="G98" i="3"/>
  <c r="F98" i="3"/>
  <c r="H97" i="3"/>
  <c r="G97" i="3"/>
  <c r="F97" i="3"/>
  <c r="H96" i="3"/>
  <c r="G96" i="3"/>
  <c r="F96" i="3"/>
  <c r="H95" i="3"/>
  <c r="G95" i="3"/>
  <c r="F95" i="3"/>
  <c r="H94" i="3"/>
  <c r="G94" i="3"/>
  <c r="F94" i="3"/>
  <c r="H93" i="3"/>
  <c r="G93" i="3"/>
  <c r="F93" i="3"/>
  <c r="H92" i="3"/>
  <c r="G92" i="3"/>
  <c r="F92" i="3"/>
  <c r="H91" i="3"/>
  <c r="G91" i="3"/>
  <c r="F91" i="3"/>
  <c r="H90" i="3"/>
  <c r="G90" i="3"/>
  <c r="F90" i="3"/>
  <c r="H89" i="3"/>
  <c r="G89" i="3"/>
  <c r="F89" i="3"/>
  <c r="H88" i="3"/>
  <c r="G88" i="3"/>
  <c r="F88" i="3"/>
  <c r="H87" i="3"/>
  <c r="G87" i="3"/>
  <c r="F87" i="3"/>
  <c r="H86" i="3"/>
  <c r="G86" i="3"/>
  <c r="F86" i="3"/>
  <c r="H85" i="3"/>
  <c r="G85" i="3"/>
  <c r="F85" i="3"/>
  <c r="H84" i="3"/>
  <c r="G84" i="3"/>
  <c r="F84" i="3"/>
  <c r="H83" i="3"/>
  <c r="G83" i="3"/>
  <c r="F83" i="3"/>
  <c r="H82" i="3"/>
  <c r="G82" i="3"/>
  <c r="F82" i="3"/>
  <c r="H81" i="3"/>
  <c r="G81" i="3"/>
  <c r="F81" i="3"/>
  <c r="H80" i="3"/>
  <c r="G80" i="3"/>
  <c r="F80" i="3"/>
  <c r="H79" i="3"/>
  <c r="G79" i="3"/>
  <c r="F79" i="3"/>
  <c r="H78" i="3"/>
  <c r="G78" i="3"/>
  <c r="F78" i="3"/>
  <c r="H77" i="3"/>
  <c r="G77" i="3"/>
  <c r="F77" i="3"/>
  <c r="H76" i="3"/>
  <c r="G76" i="3"/>
  <c r="F76" i="3"/>
  <c r="H75" i="3"/>
  <c r="G75" i="3"/>
  <c r="F75" i="3"/>
  <c r="H74" i="3"/>
  <c r="G74" i="3"/>
  <c r="F74" i="3"/>
  <c r="H73" i="3"/>
  <c r="G73" i="3"/>
  <c r="F73" i="3"/>
  <c r="H72" i="3"/>
  <c r="G72" i="3"/>
  <c r="F72" i="3"/>
  <c r="H71" i="3"/>
  <c r="G71" i="3"/>
  <c r="F71" i="3"/>
  <c r="H70" i="3"/>
  <c r="G70" i="3"/>
  <c r="F70" i="3"/>
  <c r="H69" i="3"/>
  <c r="G69" i="3"/>
  <c r="F69" i="3"/>
  <c r="H68" i="3"/>
  <c r="G68" i="3"/>
  <c r="F68" i="3"/>
  <c r="H67" i="3"/>
  <c r="G67" i="3"/>
  <c r="F67" i="3"/>
  <c r="H66" i="3"/>
  <c r="G66" i="3"/>
  <c r="F66" i="3"/>
  <c r="H65" i="3"/>
  <c r="G65" i="3"/>
  <c r="F65" i="3"/>
  <c r="H64" i="3"/>
  <c r="G64" i="3"/>
  <c r="F64" i="3"/>
  <c r="H63" i="3"/>
  <c r="G63" i="3"/>
  <c r="F63" i="3"/>
  <c r="H62" i="3"/>
  <c r="G62" i="3"/>
  <c r="F62" i="3"/>
  <c r="H61" i="3"/>
  <c r="G61" i="3"/>
  <c r="F61" i="3"/>
  <c r="H60" i="3"/>
  <c r="G60" i="3"/>
  <c r="F60" i="3"/>
  <c r="H59" i="3"/>
  <c r="G59" i="3"/>
  <c r="F59" i="3"/>
  <c r="H58" i="3"/>
  <c r="G58" i="3"/>
  <c r="F58" i="3"/>
  <c r="H57" i="3"/>
  <c r="G57" i="3"/>
  <c r="F57" i="3"/>
  <c r="H56" i="3"/>
  <c r="G56" i="3"/>
  <c r="F56" i="3"/>
  <c r="H55" i="3"/>
  <c r="G55" i="3"/>
  <c r="F55" i="3"/>
  <c r="H54" i="3"/>
  <c r="G54" i="3"/>
  <c r="F54" i="3"/>
  <c r="H53" i="3"/>
  <c r="G53" i="3"/>
  <c r="F53" i="3"/>
  <c r="H52" i="3"/>
  <c r="G52" i="3"/>
  <c r="F52" i="3"/>
  <c r="H51" i="3"/>
  <c r="G51" i="3"/>
  <c r="F51" i="3"/>
  <c r="H50" i="3"/>
  <c r="G50" i="3"/>
  <c r="F50" i="3"/>
  <c r="H49" i="3"/>
  <c r="G49" i="3"/>
  <c r="F49" i="3"/>
  <c r="H48" i="3"/>
  <c r="G48" i="3"/>
  <c r="F48" i="3"/>
  <c r="H47" i="3"/>
  <c r="G47" i="3"/>
  <c r="F47" i="3"/>
  <c r="H46" i="3"/>
  <c r="G46" i="3"/>
  <c r="F46" i="3"/>
  <c r="H45" i="3"/>
  <c r="G45" i="3"/>
  <c r="F45" i="3"/>
  <c r="H44" i="3"/>
  <c r="G44" i="3"/>
  <c r="F44" i="3"/>
  <c r="H43" i="3"/>
  <c r="G43" i="3"/>
  <c r="F43" i="3"/>
  <c r="H42" i="3"/>
  <c r="G42" i="3"/>
  <c r="F42" i="3"/>
  <c r="H41" i="3"/>
  <c r="G41" i="3"/>
  <c r="F41" i="3"/>
  <c r="H40" i="3"/>
  <c r="G40" i="3"/>
  <c r="F40" i="3"/>
  <c r="H39" i="3"/>
  <c r="G39" i="3"/>
  <c r="F39" i="3"/>
  <c r="H38" i="3"/>
  <c r="G38" i="3"/>
  <c r="F38" i="3"/>
  <c r="H37" i="3"/>
  <c r="G37" i="3"/>
  <c r="F37" i="3"/>
  <c r="H36" i="3"/>
  <c r="G36" i="3"/>
  <c r="F36" i="3"/>
  <c r="H35" i="3"/>
  <c r="G35" i="3"/>
  <c r="F35" i="3"/>
  <c r="H34" i="3"/>
  <c r="G34" i="3"/>
  <c r="F34" i="3"/>
  <c r="H33" i="3"/>
  <c r="G33" i="3"/>
  <c r="F33" i="3"/>
  <c r="H32" i="3"/>
  <c r="G32" i="3"/>
  <c r="F32" i="3"/>
  <c r="H31" i="3"/>
  <c r="G31" i="3"/>
  <c r="F31" i="3"/>
  <c r="H30" i="3"/>
  <c r="G30" i="3"/>
  <c r="F30" i="3"/>
  <c r="H29" i="3"/>
  <c r="G29" i="3"/>
  <c r="F29" i="3"/>
  <c r="H28" i="3"/>
  <c r="G28" i="3"/>
  <c r="F28" i="3"/>
  <c r="H27" i="3"/>
  <c r="G27" i="3"/>
  <c r="F27" i="3"/>
  <c r="H26" i="3"/>
  <c r="G26" i="3"/>
  <c r="F26" i="3"/>
  <c r="H25" i="3"/>
  <c r="G25" i="3"/>
  <c r="F25" i="3"/>
  <c r="H24" i="3"/>
  <c r="G24" i="3"/>
  <c r="F24" i="3"/>
  <c r="H23" i="3"/>
  <c r="G23" i="3"/>
  <c r="F23" i="3"/>
  <c r="H22" i="3"/>
  <c r="G22" i="3"/>
  <c r="F22" i="3"/>
  <c r="H21" i="3"/>
  <c r="G21" i="3"/>
  <c r="F21" i="3"/>
  <c r="H20" i="3"/>
  <c r="G20" i="3"/>
  <c r="F20" i="3"/>
  <c r="H19" i="3"/>
  <c r="G19" i="3"/>
  <c r="F19" i="3"/>
  <c r="H18" i="3"/>
  <c r="G18" i="3"/>
  <c r="F18" i="3"/>
  <c r="H17" i="3"/>
  <c r="G17" i="3"/>
  <c r="F17" i="3"/>
  <c r="H16" i="3"/>
  <c r="G16" i="3"/>
  <c r="F16" i="3"/>
  <c r="H15" i="3"/>
  <c r="G15" i="3"/>
  <c r="F15" i="3"/>
  <c r="H14" i="3"/>
  <c r="G14" i="3"/>
  <c r="F14" i="3"/>
  <c r="H13" i="3"/>
  <c r="G13" i="3"/>
  <c r="F13" i="3"/>
  <c r="H9" i="3"/>
  <c r="G9" i="3"/>
  <c r="F9" i="3"/>
  <c r="H8" i="3"/>
  <c r="G8" i="3"/>
  <c r="F8" i="3"/>
  <c r="H7" i="3"/>
  <c r="G7" i="3"/>
  <c r="F7" i="3"/>
  <c r="H6" i="3"/>
  <c r="G6" i="3"/>
  <c r="F6" i="3"/>
  <c r="H5" i="3"/>
  <c r="G5" i="3"/>
  <c r="F5" i="3"/>
  <c r="H4" i="3"/>
  <c r="G4" i="3"/>
  <c r="F4" i="3"/>
  <c r="H3" i="3"/>
  <c r="G3" i="3"/>
  <c r="F3" i="3"/>
  <c r="H2" i="3"/>
  <c r="G2" i="3"/>
  <c r="F2" i="3"/>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Roosterplanning</author>
  </authors>
  <commentList>
    <comment ref="A1" authorId="0" shapeId="0" xr:uid="{00000000-0006-0000-0100-000001000000}">
      <text>
        <r>
          <rPr>
            <sz val="11"/>
            <color theme="1"/>
            <rFont val="Calibri"/>
            <family val="2"/>
            <scheme val="minor"/>
          </rPr>
          <t>Verplicht. Uniek geheel getal &gt; 0: het ID van de scholing in het LMS.
Inschrijvingen verwijzen hiernaar via C_ID.</t>
        </r>
      </text>
    </comment>
    <comment ref="B1" authorId="0" shapeId="0" xr:uid="{00000000-0006-0000-0100-000002000000}">
      <text>
        <r>
          <rPr>
            <sz val="11"/>
            <color theme="1"/>
            <rFont val="Calibri"/>
            <family val="2"/>
            <scheme val="minor"/>
          </rPr>
          <t>Verplicht. Naam van de scholing (max. 255 tekens).
Komt als opmerking bij de scholingsdienst in het rooster.</t>
        </r>
      </text>
    </comment>
    <comment ref="C1" authorId="0" shapeId="0" xr:uid="{00000000-0006-0000-0100-000003000000}">
      <text>
        <r>
          <rPr>
            <sz val="11"/>
            <color theme="1"/>
            <rFont val="Calibri"/>
            <family val="2"/>
            <scheme val="minor"/>
          </rPr>
          <t>Verplicht (mag niet leeg). Locatie (max. 255 tekens).
Wordt getoond in het overzicht EVA-inschrijvingen.</t>
        </r>
      </text>
    </comment>
    <comment ref="D1" authorId="0" shapeId="0" xr:uid="{00000000-0006-0000-0100-000004000000}">
      <text>
        <r>
          <rPr>
            <sz val="11"/>
            <color theme="1"/>
            <rFont val="Calibri"/>
            <family val="2"/>
            <scheme val="minor"/>
          </rPr>
          <t>Automatische controle, niet aanpassen. Wordt niet ingelezen.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Roosterplanning</author>
  </authors>
  <commentList>
    <comment ref="A1" authorId="0" shapeId="0" xr:uid="{00000000-0006-0000-0200-000001000000}">
      <text>
        <r>
          <rPr>
            <sz val="11"/>
            <color theme="1"/>
            <rFont val="Calibri"/>
            <family val="2"/>
            <scheme val="minor"/>
          </rPr>
          <t>Verplicht. Personeelsnummer zoals in Roosterplanning, ZONDER dienstverbandvolgnummer (het deel vóór '/' of ';' van het PersonNr).
Onbekend nummer = regel wordt zonder melding overgeslagen.</t>
        </r>
      </text>
    </comment>
    <comment ref="B1" authorId="0" shapeId="0" xr:uid="{00000000-0006-0000-0200-000002000000}">
      <text>
        <r>
          <rPr>
            <sz val="11"/>
            <color theme="1"/>
            <rFont val="Calibri"/>
            <family val="2"/>
            <scheme val="minor"/>
          </rPr>
          <t>Verplicht. ID van een scholing uit het tabblad Scholingen (kies uit de lijst).</t>
        </r>
      </text>
    </comment>
    <comment ref="C1" authorId="0" shapeId="0" xr:uid="{00000000-0006-0000-0200-000003000000}">
      <text>
        <r>
          <rPr>
            <sz val="11"/>
            <color theme="1"/>
            <rFont val="Calibri"/>
            <family val="2"/>
            <scheme val="minor"/>
          </rPr>
          <t>Verplicht. Datum + tijd (Nederlandse tijd), bijv. 2026-11-12 09:00.
De datum bepaalt de roosterdag van de scholingsdienst.</t>
        </r>
      </text>
    </comment>
    <comment ref="D1" authorId="0" shapeId="0" xr:uid="{00000000-0006-0000-0200-000004000000}">
      <text>
        <r>
          <rPr>
            <sz val="11"/>
            <color theme="1"/>
            <rFont val="Calibri"/>
            <family val="2"/>
            <scheme val="minor"/>
          </rPr>
          <t>Verplicht. Datum + tijd, ná de begintijd en op dezelfde dag.
Meerdaagse scholing: één regel per dag.</t>
        </r>
      </text>
    </comment>
    <comment ref="E1" authorId="0" shapeId="0" xr:uid="{00000000-0006-0000-0200-000005000000}">
      <text>
        <r>
          <rPr>
            <sz val="11"/>
            <color theme="1"/>
            <rFont val="Calibri"/>
            <family val="2"/>
            <scheme val="minor"/>
          </rPr>
          <t>Optioneel, alleen voor jezelf. Wordt NIET ingelezen.</t>
        </r>
      </text>
    </comment>
    <comment ref="F1" authorId="0" shapeId="0" xr:uid="{00000000-0006-0000-0200-000006000000}">
      <text>
        <r>
          <rPr>
            <sz val="11"/>
            <color theme="1"/>
            <rFont val="Calibri"/>
            <family val="2"/>
            <scheme val="minor"/>
          </rPr>
          <t>Automatisch opgezocht via C_ID. Wordt niet ingelezen.</t>
        </r>
      </text>
    </comment>
    <comment ref="G1" authorId="0" shapeId="0" xr:uid="{00000000-0006-0000-0200-000007000000}">
      <text>
        <r>
          <rPr>
            <sz val="11"/>
            <color theme="1"/>
            <rFont val="Calibri"/>
            <family val="2"/>
            <scheme val="minor"/>
          </rPr>
          <t>Automatisch berekend. Wordt niet ingelezen.</t>
        </r>
      </text>
    </comment>
    <comment ref="H1" authorId="0" shapeId="0" xr:uid="{00000000-0006-0000-0200-000008000000}">
      <text>
        <r>
          <rPr>
            <sz val="11"/>
            <color theme="1"/>
            <rFont val="Calibri"/>
            <family val="2"/>
            <scheme val="minor"/>
          </rPr>
          <t>Automatische controle, niet aanpassen. Wordt niet ingelezen.</t>
        </r>
      </text>
    </comment>
  </commentList>
</comments>
</file>

<file path=xl/sharedStrings.xml><?xml version="1.0" encoding="utf-8"?>
<sst xmlns="http://schemas.openxmlformats.org/spreadsheetml/2006/main" count="113" uniqueCount="80">
  <si>
    <t>EVA/LMS dummy-import: scholingen en inschrijvingen</t>
  </si>
  <si>
    <t>Testgegevens voor de LMS-koppeling (EVA) van Roosterplanning, zonder echt LMS. Versie 2026-10-09.</t>
  </si>
  <si>
    <t>Wat moet je doen?</t>
  </si>
  <si>
    <t>1. Vul het tabblad Scholingen: één regel per scholing (ID, TITLE, LOCATION).</t>
  </si>
  <si>
    <t>2. Vul het tabblad Inschrijvingen: één regel per medewerker per scholingsdag (PERSONEELSNUMMER, C_ID, BEGINTIJD, EINDTIJD).</t>
  </si>
  <si>
    <t>3. Vul alleen de GELE cellen. Grijze kolommen zijn hulpkolommen; die worden niet ingelezen.</t>
  </si>
  <si>
    <t>4. Kijk in de kolom Controle: groen = OK, oranje = waarschuwing, rood = moet worden aangepast.</t>
  </si>
  <si>
    <t>5. De voorbeeldregels (personeelsnummers 100234 t/m 100238) zijn verzonnen. Vervang ze door personeelsnummers die op de testomgeving bestaan; onbekende nummers worden zonder melding overgeslagen.</t>
  </si>
  <si>
    <t>6. Klaar? Sla het bestand op, open Publiceer.html in de gedeelde OneDrive-map 'EVA dummy API' en sleep het bestand erin (uitleg: knop Hulp in die pagina). Bij fouten wordt niets gepubliceerd en blijft de vorige versie online.</t>
  </si>
  <si>
    <t>Velden</t>
  </si>
  <si>
    <t>Tabblad</t>
  </si>
  <si>
    <t>Veld (kolomnaam)</t>
  </si>
  <si>
    <t>Verplicht</t>
  </si>
  <si>
    <t>Formaat</t>
  </si>
  <si>
    <t>Betekenis / gebruik in Roosterplanning</t>
  </si>
  <si>
    <t>Voorbeeld</t>
  </si>
  <si>
    <t>Scholingen</t>
  </si>
  <si>
    <t>ID</t>
  </si>
  <si>
    <t>Ja</t>
  </si>
  <si>
    <t>Geheel getal &gt; 0, uniek</t>
  </si>
  <si>
    <t>Unieke sleutel van de scholing in het LMS. Inschrijvingen verwijzen hiernaar via C_ID.</t>
  </si>
  <si>
    <t>50101</t>
  </si>
  <si>
    <t>TITLE</t>
  </si>
  <si>
    <t>Tekst, max. 255 tekens</t>
  </si>
  <si>
    <t>Naam van de scholing. Komt als opmerking bij de scholingsdienst in het rooster.</t>
  </si>
  <si>
    <t>BHV herhaling</t>
  </si>
  <si>
    <t>LOCATION</t>
  </si>
  <si>
    <t>Locatie. Wordt getoond in het overzicht EVA-inschrijvingen. Mag niet leeg zijn.</t>
  </si>
  <si>
    <t>Skillslab, gebouw B</t>
  </si>
  <si>
    <t>Inschrijvingen</t>
  </si>
  <si>
    <t>PERSONEELSNUMMER</t>
  </si>
  <si>
    <t>Tekst</t>
  </si>
  <si>
    <t>Personeelsnummer zonder dienstverbandvolgnummer (het deel vóór '/' of ';' in het PersonNr). Bepaalt de medewerker; bij meerdere dienstverbanden kiest Roosterplanning er zelf één.</t>
  </si>
  <si>
    <t>100234</t>
  </si>
  <si>
    <t>C_ID</t>
  </si>
  <si>
    <t>ID uit Scholingen</t>
  </si>
  <si>
    <t>Naar welke scholing de inschrijving verwijst.</t>
  </si>
  <si>
    <t>BEGINTIJD</t>
  </si>
  <si>
    <t>Datum + tijd (NL-tijd)</t>
  </si>
  <si>
    <t>Begin van de scholing. De datum bepaalt de roosterdag van de scholingsdienst.</t>
  </si>
  <si>
    <t>2026-11-03 09:00</t>
  </si>
  <si>
    <t>EINDTIJD</t>
  </si>
  <si>
    <t>Einde van de scholing; na de begintijd en op dezelfde dag.</t>
  </si>
  <si>
    <t>2026-11-03 16:30</t>
  </si>
  <si>
    <t>Goed om te weten (zo verwerkt Roosterplanning de gegevens)</t>
  </si>
  <si>
    <t>• Elke levering is de volledige stand: scholingen en inschrijvingen die er niet meer in staan, worden in Roosterplanning verwijderd (een al aangemaakte scholingsdienst blijft wel staan).</t>
  </si>
  <si>
    <t>• Meerdaagse scholing: maak één inschrijving per dag, met de tijden van die dag.</t>
  </si>
  <si>
    <t>• Twee scholingen op dezelfde dag voor dezelfde medewerker worden één dienst: vroegste begintijd tot laatste eindtijd, titels met ' + ' achter elkaar.</t>
  </si>
  <si>
    <t>• Een inschrijving wordt alleen een scholingsdienst als: de datum ná 'Automatisch verwerken vanaf' ligt (zonder die datum: in de toekomst en het rooster is nog niet gepubliceerd), de medewerker die dag een actief dienstverband met rooster heeft, er geen verlof staat, het rooster een dienst met de ingestelde scholingsdienstcode heeft en de salarisperiode nog niet is geaccordeerd.</t>
  </si>
  <si>
    <t>• Gebruik daarom voor de test datums in de toekomst en medewerkers die op die datums in een (ongepubliceerd) rooster staan.</t>
  </si>
  <si>
    <t>Zo ziet de technische levering eruit (JSON; zo zou een LMS het aanbieden)</t>
  </si>
  <si>
    <t>Endpoint scholingen:</t>
  </si>
  <si>
    <t>[ { "ID": 50101, "TITLE": "BHV herhaling", "LOCATION": "Trainingscentrum, lokaal 0.12" }, ... ]</t>
  </si>
  <si>
    <t>Endpoint inschrijvingen:</t>
  </si>
  <si>
    <t>[ { "PERSONEELSNUMMER": "100234", "C_ID": 50101, "BEGINTIJD": "2026-11-03 09:00:00", "EINDTIJD": "2026-11-03 16:30:00" }, ... ]</t>
  </si>
  <si>
    <t>Controle</t>
  </si>
  <si>
    <t>Trainingscentrum, lokaal 0.12</t>
  </si>
  <si>
    <t>Reanimatie (BLS/AED) herhaling</t>
  </si>
  <si>
    <t>Voorbehouden handelingen: injecteren</t>
  </si>
  <si>
    <t>Medicatieveiligheid</t>
  </si>
  <si>
    <t>Online (Teams)</t>
  </si>
  <si>
    <t>Omgaan met agressie</t>
  </si>
  <si>
    <t>Leslokaal 2.14, hoofdgebouw</t>
  </si>
  <si>
    <t>Medewerker (ter info)</t>
  </si>
  <si>
    <t>Scholing (opgezocht)</t>
  </si>
  <si>
    <t>Duur (uren)</t>
  </si>
  <si>
    <t>091</t>
  </si>
  <si>
    <t>106</t>
  </si>
  <si>
    <t>Medewerker 01 Boa 1</t>
  </si>
  <si>
    <t>Medewerker 01 Boa 2</t>
  </si>
  <si>
    <t>092</t>
  </si>
  <si>
    <t>Medewerker 02 Boa 1</t>
  </si>
  <si>
    <t>093</t>
  </si>
  <si>
    <t>Medewerker 03 Boa 1</t>
  </si>
  <si>
    <t>Medewerker 02 Boa 2</t>
  </si>
  <si>
    <t>107</t>
  </si>
  <si>
    <t>Medewerker 03 Boa 2</t>
  </si>
  <si>
    <t>108</t>
  </si>
  <si>
    <t>095</t>
  </si>
  <si>
    <t>Medewerker 05 Boa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</si>
</sst>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9" x14ac:knownFonts="1">
    <font>
      <sz val="11"/>
      <color theme="1"/>
      <name val="Calibri"/>
      <family val="2"/>
      <scheme val="minor"/>
    </font>
    <font>
      <b/>
      <sz val="10"/>
      <color rgb="FFFFFFFF"/>
      <name val="Arial"/>
      <family val="2"/>
    </font>
    <font>
      <sz val="10"/>
      <name val="Arial"/>
      <family val="2"/>
    </font>
    <font>
      <sz val="10"/>
      <color rgb="FF595959"/>
      <name val="Arial"/>
      <family val="2"/>
    </font>
    <font>
      <b/>
      <sz val="14"/>
      <name val="Arial"/>
      <family val="2"/>
    </font>
    <font>
      <b/>
      <sz val="11"/>
      <name val="Arial"/>
      <family val="2"/>
    </font>
    <font>
      <b/>
      <sz val="10"/>
      <name val="Arial"/>
      <family val="2"/>
    </font>
    <font>
      <sz val="9"/>
      <name val="Courier New"/>
      <family val="1"/>
    </font>
    <font>
      <sz val="8"/>
      <name val="Calibri"/>
      <family val="2"/>
      <scheme val="minor"/>
    </font>
  </fonts>
  <fills count="6">
    <fill>
      <patternFill patternType="none"/>
    </fill>
    <fill>
      <patternFill patternType="gray125"/>
    </fill>
    <fill>
      <patternFill patternType="solid">
        <fgColor rgb="FF1F4E78"/>
      </patternFill>
    </fill>
    <fill>
      <patternFill patternType="solid">
        <fgColor rgb="FF7F7F7F"/>
      </patternFill>
    </fill>
    <fill>
      <patternFill patternType="solid">
        <fgColor rgb="FFFFF2CC"/>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1" fillId="2" borderId="1" xfId="0" applyFont="1" applyFill="1" applyBorder="1"/>
    <xf numFmtId="0" fontId="2" fillId="0" borderId="1" xfId="0" applyFont="1" applyBorder="1" applyAlignment="1">
      <alignment vertical="top" wrapText="1"/>
    </xf>
    <xf numFmtId="0" fontId="6" fillId="0" borderId="1" xfId="0" applyFont="1" applyBorder="1" applyAlignment="1">
      <alignment vertical="top" wrapText="1"/>
    </xf>
    <xf numFmtId="0" fontId="1" fillId="3" borderId="1" xfId="0" applyFont="1" applyFill="1" applyBorder="1"/>
    <xf numFmtId="1" fontId="2" fillId="4" borderId="1" xfId="0" applyNumberFormat="1" applyFont="1" applyFill="1" applyBorder="1"/>
    <xf numFmtId="0" fontId="2" fillId="4" borderId="1" xfId="0" applyFont="1" applyFill="1" applyBorder="1"/>
    <xf numFmtId="0" fontId="2" fillId="5" borderId="1" xfId="0" applyFont="1" applyFill="1" applyBorder="1"/>
    <xf numFmtId="49" fontId="2" fillId="4" borderId="1" xfId="0" applyNumberFormat="1" applyFont="1" applyFill="1" applyBorder="1"/>
    <xf numFmtId="164" fontId="2" fillId="4" borderId="1" xfId="0" applyNumberFormat="1" applyFont="1" applyFill="1" applyBorder="1"/>
    <xf numFmtId="0" fontId="3" fillId="4" borderId="1" xfId="0" applyFont="1" applyFill="1" applyBorder="1"/>
    <xf numFmtId="2" fontId="2" fillId="5" borderId="1" xfId="0" applyNumberFormat="1" applyFont="1" applyFill="1" applyBorder="1"/>
    <xf numFmtId="0" fontId="7" fillId="0" borderId="0" xfId="0" applyFont="1"/>
    <xf numFmtId="0" fontId="0" fillId="0" borderId="0" xfId="0"/>
    <xf numFmtId="0" fontId="5" fillId="0" borderId="0" xfId="0" applyFont="1" applyAlignment="1">
      <alignment vertical="top" wrapText="1"/>
    </xf>
    <xf numFmtId="0" fontId="2" fillId="0" borderId="0" xfId="0" applyFont="1" applyAlignment="1">
      <alignment vertical="top" wrapText="1"/>
    </xf>
    <xf numFmtId="0" fontId="6" fillId="0" borderId="0" xfId="0" applyFont="1"/>
    <xf numFmtId="0" fontId="4" fillId="0" borderId="0" xfId="0" applyFont="1" applyAlignment="1">
      <alignment vertical="top" wrapText="1"/>
    </xf>
    <xf numFmtId="0" fontId="3" fillId="0" borderId="0" xfId="0" applyFont="1" applyAlignment="1">
      <alignment vertical="top" wrapText="1"/>
    </xf>
  </cellXfs>
  <cellStyles count="1">
    <cellStyle name="Standaard" xfId="0" builtinId="0"/>
  </cellStyles>
  <dxfs count="6">
    <dxf>
      <fill>
        <patternFill patternType="solid">
          <fgColor rgb="FFFFC7CE"/>
        </patternFill>
      </fill>
    </dxf>
    <dxf>
      <fill>
        <patternFill patternType="solid">
          <fgColor rgb="FFFFE699"/>
        </patternFill>
      </fill>
    </dxf>
    <dxf>
      <fill>
        <patternFill patternType="solid">
          <fgColor rgb="FFC6EFCE"/>
        </patternFill>
      </fill>
    </dxf>
    <dxf>
      <fill>
        <patternFill patternType="solid">
          <fgColor rgb="FFFFC7CE"/>
        </patternFill>
      </fill>
    </dxf>
    <dxf>
      <fill>
        <patternFill patternType="solid">
          <fgColor rgb="FFFFE699"/>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showGridLines="0" workbookViewId="0">
      <selection sqref="A1:F1"/>
    </sheetView>
  </sheetViews>
  <sheetFormatPr defaultColWidth="8.85546875" defaultRowHeight="15" x14ac:dyDescent="0.25"/>
  <cols>
    <col min="1" max="1" width="16" customWidth="1"/>
    <col min="2" max="2" width="20" customWidth="1"/>
    <col min="3" max="3" width="11" customWidth="1"/>
    <col min="4" max="4" width="30" customWidth="1"/>
    <col min="5" max="5" width="62" customWidth="1"/>
    <col min="6" max="6" width="24" customWidth="1"/>
  </cols>
  <sheetData>
    <row r="1" spans="1:6" ht="21.95" customHeight="1" x14ac:dyDescent="0.25">
      <c r="A1" s="17" t="s">
        <v>0</v>
      </c>
      <c r="B1" s="13"/>
      <c r="C1" s="13"/>
      <c r="D1" s="13"/>
      <c r="E1" s="13"/>
      <c r="F1" s="13"/>
    </row>
    <row r="2" spans="1:6" x14ac:dyDescent="0.25">
      <c r="A2" s="18" t="s">
        <v>1</v>
      </c>
      <c r="B2" s="13"/>
      <c r="C2" s="13"/>
      <c r="D2" s="13"/>
      <c r="E2" s="13"/>
      <c r="F2" s="13"/>
    </row>
    <row r="4" spans="1:6" x14ac:dyDescent="0.25">
      <c r="A4" s="14" t="s">
        <v>2</v>
      </c>
      <c r="B4" s="13"/>
      <c r="C4" s="13"/>
      <c r="D4" s="13"/>
      <c r="E4" s="13"/>
      <c r="F4" s="13"/>
    </row>
    <row r="5" spans="1:6" x14ac:dyDescent="0.25">
      <c r="A5" s="15" t="s">
        <v>3</v>
      </c>
      <c r="B5" s="13"/>
      <c r="C5" s="13"/>
      <c r="D5" s="13"/>
      <c r="E5" s="13"/>
      <c r="F5" s="13"/>
    </row>
    <row r="6" spans="1:6" x14ac:dyDescent="0.25">
      <c r="A6" s="15" t="s">
        <v>4</v>
      </c>
      <c r="B6" s="13"/>
      <c r="C6" s="13"/>
      <c r="D6" s="13"/>
      <c r="E6" s="13"/>
      <c r="F6" s="13"/>
    </row>
    <row r="7" spans="1:6" x14ac:dyDescent="0.25">
      <c r="A7" s="15" t="s">
        <v>5</v>
      </c>
      <c r="B7" s="13"/>
      <c r="C7" s="13"/>
      <c r="D7" s="13"/>
      <c r="E7" s="13"/>
      <c r="F7" s="13"/>
    </row>
    <row r="8" spans="1:6" x14ac:dyDescent="0.25">
      <c r="A8" s="15" t="s">
        <v>6</v>
      </c>
      <c r="B8" s="13"/>
      <c r="C8" s="13"/>
      <c r="D8" s="13"/>
      <c r="E8" s="13"/>
      <c r="F8" s="13"/>
    </row>
    <row r="9" spans="1:6" ht="27" customHeight="1" x14ac:dyDescent="0.25">
      <c r="A9" s="15" t="s">
        <v>7</v>
      </c>
      <c r="B9" s="13"/>
      <c r="C9" s="13"/>
      <c r="D9" s="13"/>
      <c r="E9" s="13"/>
      <c r="F9" s="13"/>
    </row>
    <row r="10" spans="1:6" ht="27" customHeight="1" x14ac:dyDescent="0.25">
      <c r="A10" s="15" t="s">
        <v>8</v>
      </c>
      <c r="B10" s="13"/>
      <c r="C10" s="13"/>
      <c r="D10" s="13"/>
      <c r="E10" s="13"/>
      <c r="F10" s="13"/>
    </row>
    <row r="12" spans="1:6" x14ac:dyDescent="0.25">
      <c r="A12" s="14" t="s">
        <v>9</v>
      </c>
      <c r="B12" s="13"/>
      <c r="C12" s="13"/>
      <c r="D12" s="13"/>
      <c r="E12" s="13"/>
      <c r="F12" s="13"/>
    </row>
    <row r="13" spans="1:6" x14ac:dyDescent="0.25">
      <c r="A13" s="1" t="s">
        <v>10</v>
      </c>
      <c r="B13" s="1" t="s">
        <v>11</v>
      </c>
      <c r="C13" s="1" t="s">
        <v>12</v>
      </c>
      <c r="D13" s="1" t="s">
        <v>13</v>
      </c>
      <c r="E13" s="1" t="s">
        <v>14</v>
      </c>
      <c r="F13" s="1" t="s">
        <v>15</v>
      </c>
    </row>
    <row r="14" spans="1:6" ht="27" customHeight="1" x14ac:dyDescent="0.25">
      <c r="A14" s="2" t="s">
        <v>16</v>
      </c>
      <c r="B14" s="3" t="s">
        <v>17</v>
      </c>
      <c r="C14" s="2" t="s">
        <v>18</v>
      </c>
      <c r="D14" s="2" t="s">
        <v>19</v>
      </c>
      <c r="E14" s="2" t="s">
        <v>20</v>
      </c>
      <c r="F14" s="2" t="s">
        <v>21</v>
      </c>
    </row>
    <row r="15" spans="1:6" ht="27" customHeight="1" x14ac:dyDescent="0.25">
      <c r="A15" s="2" t="s">
        <v>16</v>
      </c>
      <c r="B15" s="3" t="s">
        <v>22</v>
      </c>
      <c r="C15" s="2" t="s">
        <v>18</v>
      </c>
      <c r="D15" s="2" t="s">
        <v>23</v>
      </c>
      <c r="E15" s="2" t="s">
        <v>24</v>
      </c>
      <c r="F15" s="2" t="s">
        <v>25</v>
      </c>
    </row>
    <row r="16" spans="1:6" ht="27" customHeight="1" x14ac:dyDescent="0.25">
      <c r="A16" s="2" t="s">
        <v>16</v>
      </c>
      <c r="B16" s="3" t="s">
        <v>26</v>
      </c>
      <c r="C16" s="2" t="s">
        <v>18</v>
      </c>
      <c r="D16" s="2" t="s">
        <v>23</v>
      </c>
      <c r="E16" s="2" t="s">
        <v>27</v>
      </c>
      <c r="F16" s="2" t="s">
        <v>28</v>
      </c>
    </row>
    <row r="17" spans="1:6" ht="39.950000000000003" customHeight="1" x14ac:dyDescent="0.25">
      <c r="A17" s="2" t="s">
        <v>29</v>
      </c>
      <c r="B17" s="3" t="s">
        <v>30</v>
      </c>
      <c r="C17" s="2" t="s">
        <v>18</v>
      </c>
      <c r="D17" s="2" t="s">
        <v>31</v>
      </c>
      <c r="E17" s="2" t="s">
        <v>32</v>
      </c>
      <c r="F17" s="2" t="s">
        <v>33</v>
      </c>
    </row>
    <row r="18" spans="1:6" ht="27" customHeight="1" x14ac:dyDescent="0.25">
      <c r="A18" s="2" t="s">
        <v>29</v>
      </c>
      <c r="B18" s="3" t="s">
        <v>34</v>
      </c>
      <c r="C18" s="2" t="s">
        <v>18</v>
      </c>
      <c r="D18" s="2" t="s">
        <v>35</v>
      </c>
      <c r="E18" s="2" t="s">
        <v>36</v>
      </c>
      <c r="F18" s="2" t="s">
        <v>21</v>
      </c>
    </row>
    <row r="19" spans="1:6" ht="27" customHeight="1" x14ac:dyDescent="0.25">
      <c r="A19" s="2" t="s">
        <v>29</v>
      </c>
      <c r="B19" s="3" t="s">
        <v>37</v>
      </c>
      <c r="C19" s="2" t="s">
        <v>18</v>
      </c>
      <c r="D19" s="2" t="s">
        <v>38</v>
      </c>
      <c r="E19" s="2" t="s">
        <v>39</v>
      </c>
      <c r="F19" s="2" t="s">
        <v>40</v>
      </c>
    </row>
    <row r="20" spans="1:6" ht="27" customHeight="1" x14ac:dyDescent="0.25">
      <c r="A20" s="2" t="s">
        <v>29</v>
      </c>
      <c r="B20" s="3" t="s">
        <v>41</v>
      </c>
      <c r="C20" s="2" t="s">
        <v>18</v>
      </c>
      <c r="D20" s="2" t="s">
        <v>38</v>
      </c>
      <c r="E20" s="2" t="s">
        <v>42</v>
      </c>
      <c r="F20" s="2" t="s">
        <v>43</v>
      </c>
    </row>
    <row r="22" spans="1:6" x14ac:dyDescent="0.25">
      <c r="A22" s="14" t="s">
        <v>44</v>
      </c>
      <c r="B22" s="13"/>
      <c r="C22" s="13"/>
      <c r="D22" s="13"/>
      <c r="E22" s="13"/>
      <c r="F22" s="13"/>
    </row>
    <row r="23" spans="1:6" ht="27" customHeight="1" x14ac:dyDescent="0.25">
      <c r="A23" s="15" t="s">
        <v>45</v>
      </c>
      <c r="B23" s="13"/>
      <c r="C23" s="13"/>
      <c r="D23" s="13"/>
      <c r="E23" s="13"/>
      <c r="F23" s="13"/>
    </row>
    <row r="24" spans="1:6" x14ac:dyDescent="0.25">
      <c r="A24" s="15" t="s">
        <v>46</v>
      </c>
      <c r="B24" s="13"/>
      <c r="C24" s="13"/>
      <c r="D24" s="13"/>
      <c r="E24" s="13"/>
      <c r="F24" s="13"/>
    </row>
    <row r="25" spans="1:6" ht="27" customHeight="1" x14ac:dyDescent="0.25">
      <c r="A25" s="15" t="s">
        <v>47</v>
      </c>
      <c r="B25" s="13"/>
      <c r="C25" s="13"/>
      <c r="D25" s="13"/>
      <c r="E25" s="13"/>
      <c r="F25" s="13"/>
    </row>
    <row r="26" spans="1:6" ht="39.950000000000003" customHeight="1" x14ac:dyDescent="0.25">
      <c r="A26" s="15" t="s">
        <v>48</v>
      </c>
      <c r="B26" s="13"/>
      <c r="C26" s="13"/>
      <c r="D26" s="13"/>
      <c r="E26" s="13"/>
      <c r="F26" s="13"/>
    </row>
    <row r="27" spans="1:6" ht="27" customHeight="1" x14ac:dyDescent="0.25">
      <c r="A27" s="15" t="s">
        <v>49</v>
      </c>
      <c r="B27" s="13"/>
      <c r="C27" s="13"/>
      <c r="D27" s="13"/>
      <c r="E27" s="13"/>
      <c r="F27" s="13"/>
    </row>
    <row r="29" spans="1:6" x14ac:dyDescent="0.25">
      <c r="A29" s="14" t="s">
        <v>50</v>
      </c>
      <c r="B29" s="13"/>
      <c r="C29" s="13"/>
      <c r="D29" s="13"/>
      <c r="E29" s="13"/>
      <c r="F29" s="13"/>
    </row>
    <row r="30" spans="1:6" x14ac:dyDescent="0.25">
      <c r="A30" s="16" t="s">
        <v>51</v>
      </c>
      <c r="B30" s="13"/>
      <c r="C30" s="13"/>
      <c r="D30" s="13"/>
      <c r="E30" s="13"/>
      <c r="F30" s="13"/>
    </row>
    <row r="31" spans="1:6" x14ac:dyDescent="0.25">
      <c r="A31" s="12" t="s">
        <v>52</v>
      </c>
      <c r="B31" s="13"/>
      <c r="C31" s="13"/>
      <c r="D31" s="13"/>
      <c r="E31" s="13"/>
      <c r="F31" s="13"/>
    </row>
    <row r="32" spans="1:6" x14ac:dyDescent="0.25">
      <c r="A32" s="16"/>
      <c r="B32" s="13"/>
      <c r="C32" s="13"/>
      <c r="D32" s="13"/>
      <c r="E32" s="13"/>
      <c r="F32" s="13"/>
    </row>
    <row r="33" spans="1:6" x14ac:dyDescent="0.25">
      <c r="A33" s="16" t="s">
        <v>53</v>
      </c>
      <c r="B33" s="13"/>
      <c r="C33" s="13"/>
      <c r="D33" s="13"/>
      <c r="E33" s="13"/>
      <c r="F33" s="13"/>
    </row>
    <row r="34" spans="1:6" x14ac:dyDescent="0.25">
      <c r="A34" s="12" t="s">
        <v>54</v>
      </c>
      <c r="B34" s="13"/>
      <c r="C34" s="13"/>
      <c r="D34" s="13"/>
      <c r="E34" s="13"/>
      <c r="F34" s="13"/>
    </row>
  </sheetData>
  <mergeCells count="22">
    <mergeCell ref="A34:F34"/>
    <mergeCell ref="A30:F30"/>
    <mergeCell ref="A24:F24"/>
    <mergeCell ref="A1:F1"/>
    <mergeCell ref="A6:F6"/>
    <mergeCell ref="A7:F7"/>
    <mergeCell ref="A25:F25"/>
    <mergeCell ref="A27:F27"/>
    <mergeCell ref="A12:F12"/>
    <mergeCell ref="A26:F26"/>
    <mergeCell ref="A2:F2"/>
    <mergeCell ref="A33:F33"/>
    <mergeCell ref="A5:F5"/>
    <mergeCell ref="A23:F23"/>
    <mergeCell ref="A32:F32"/>
    <mergeCell ref="A8:F8"/>
    <mergeCell ref="A31:F31"/>
    <mergeCell ref="A22:F22"/>
    <mergeCell ref="A4:F4"/>
    <mergeCell ref="A29:F29"/>
    <mergeCell ref="A10:F10"/>
    <mergeCell ref="A9:F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0"/>
  <sheetViews>
    <sheetView tabSelected="1" workbookViewId="0">
      <pane ySplit="1" topLeftCell="A2" activePane="bottomLeft" state="frozen"/>
      <selection pane="bottomLeft"/>
    </sheetView>
  </sheetViews>
  <sheetFormatPr defaultColWidth="8.85546875" defaultRowHeight="15" x14ac:dyDescent="0.25"/>
  <cols>
    <col min="1" max="1" width="12" customWidth="1"/>
    <col min="2" max="2" width="46" customWidth="1"/>
    <col min="3" max="3" width="34" customWidth="1"/>
    <col min="4" max="4" width="44" customWidth="1"/>
  </cols>
  <sheetData>
    <row r="1" spans="1:4" x14ac:dyDescent="0.25">
      <c r="A1" s="1" t="s">
        <v>17</v>
      </c>
      <c r="B1" s="1" t="s">
        <v>22</v>
      </c>
      <c r="C1" s="1" t="s">
        <v>26</v>
      </c>
      <c r="D1" s="4" t="s">
        <v>55</v>
      </c>
    </row>
    <row r="2" spans="1:4" x14ac:dyDescent="0.25">
      <c r="A2" s="5">
        <v>50101</v>
      </c>
      <c r="B2" s="6" t="s">
        <v>25</v>
      </c>
      <c r="C2" s="6" t="s">
        <v>56</v>
      </c>
      <c r="D2" s="7" t="str">
        <f>IF(AND(A2="",B2="",C2=""),"",IF(OR(A2="",B2=""),"Fout: ID en TITLE zijn verplicht",IF(NOT(ISNUMBER(A2)),"Fout: ID moet een getal zijn",IF(OR(A2&lt;1,A2&lt;&gt;INT(A2)),"Fout: ID moet een positief geheel getal zijn",IF(COUNTIF($A$2:$A$200,A2)&gt;1,"Fout: ID komt dubbel voor",IF(C2="","Fout: LOCATION is leeg (gebruik bijv. Online)",IF(OR(LEN(B2)&gt;255,LEN(C2)&gt;255),"Fout: maximaal 255 tekens",IF(COUNTIF(Inschrijvingen!$B$2:$B$200,A2)=0,"Let op: nog geen inschrijvingen","OK"))))))))</f>
        <v>OK</v>
      </c>
    </row>
    <row r="3" spans="1:4" x14ac:dyDescent="0.25">
      <c r="A3" s="5">
        <v>50102</v>
      </c>
      <c r="B3" s="6" t="s">
        <v>57</v>
      </c>
      <c r="C3" s="6" t="s">
        <v>28</v>
      </c>
      <c r="D3" s="7" t="str">
        <f>IF(AND(A3="",B3="",C3=""),"",IF(OR(A3="",B3=""),"Fout: ID en TITLE zijn verplicht",IF(NOT(ISNUMBER(A3)),"Fout: ID moet een getal zijn",IF(OR(A3&lt;1,A3&lt;&gt;INT(A3)),"Fout: ID moet een positief geheel getal zijn",IF(COUNTIF($A$2:$A$200,A3)&gt;1,"Fout: ID komt dubbel voor",IF(C3="","Fout: LOCATION is leeg (gebruik bijv. Online)",IF(OR(LEN(B3)&gt;255,LEN(C3)&gt;255),"Fout: maximaal 255 tekens",IF(COUNTIF(Inschrijvingen!$B$2:$B$200,A3)=0,"Let op: nog geen inschrijvingen","OK"))))))))</f>
        <v>OK</v>
      </c>
    </row>
    <row r="4" spans="1:4" x14ac:dyDescent="0.25">
      <c r="A4" s="5">
        <v>50103</v>
      </c>
      <c r="B4" s="6" t="s">
        <v>58</v>
      </c>
      <c r="C4" s="6" t="s">
        <v>28</v>
      </c>
      <c r="D4" s="7" t="str">
        <f>IF(AND(A4="",B4="",C4=""),"",IF(OR(A4="",B4=""),"Fout: ID en TITLE zijn verplicht",IF(NOT(ISNUMBER(A4)),"Fout: ID moet een getal zijn",IF(OR(A4&lt;1,A4&lt;&gt;INT(A4)),"Fout: ID moet een positief geheel getal zijn",IF(COUNTIF($A$2:$A$200,A4)&gt;1,"Fout: ID komt dubbel voor",IF(C4="","Fout: LOCATION is leeg (gebruik bijv. Online)",IF(OR(LEN(B4)&gt;255,LEN(C4)&gt;255),"Fout: maximaal 255 tekens",IF(COUNTIF(Inschrijvingen!$B$2:$B$200,A4)=0,"Let op: nog geen inschrijvingen","OK"))))))))</f>
        <v>OK</v>
      </c>
    </row>
    <row r="5" spans="1:4" x14ac:dyDescent="0.25">
      <c r="A5" s="5">
        <v>50104</v>
      </c>
      <c r="B5" s="6" t="s">
        <v>59</v>
      </c>
      <c r="C5" s="6" t="s">
        <v>60</v>
      </c>
      <c r="D5" s="7" t="str">
        <f>IF(AND(A5="",B5="",C5=""),"",IF(OR(A5="",B5=""),"Fout: ID en TITLE zijn verplicht",IF(NOT(ISNUMBER(A5)),"Fout: ID moet een getal zijn",IF(OR(A5&lt;1,A5&lt;&gt;INT(A5)),"Fout: ID moet een positief geheel getal zijn",IF(COUNTIF($A$2:$A$200,A5)&gt;1,"Fout: ID komt dubbel voor",IF(C5="","Fout: LOCATION is leeg (gebruik bijv. Online)",IF(OR(LEN(B5)&gt;255,LEN(C5)&gt;255),"Fout: maximaal 255 tekens",IF(COUNTIF(Inschrijvingen!$B$2:$B$200,A5)=0,"Let op: nog geen inschrijvingen","OK"))))))))</f>
        <v>OK</v>
      </c>
    </row>
    <row r="6" spans="1:4" x14ac:dyDescent="0.25">
      <c r="A6" s="5">
        <v>50105</v>
      </c>
      <c r="B6" s="6" t="s">
        <v>61</v>
      </c>
      <c r="C6" s="6" t="s">
        <v>62</v>
      </c>
      <c r="D6" s="7" t="str">
        <f>IF(AND(A6="",B6="",C6=""),"",IF(OR(A6="",B6=""),"Fout: ID en TITLE zijn verplicht",IF(NOT(ISNUMBER(A6)),"Fout: ID moet een getal zijn",IF(OR(A6&lt;1,A6&lt;&gt;INT(A6)),"Fout: ID moet een positief geheel getal zijn",IF(COUNTIF($A$2:$A$200,A6)&gt;1,"Fout: ID komt dubbel voor",IF(C6="","Fout: LOCATION is leeg (gebruik bijv. Online)",IF(OR(LEN(B6)&gt;255,LEN(C6)&gt;255),"Fout: maximaal 255 tekens",IF(COUNTIF(Inschrijvingen!$B$2:$B$200,A6)=0,"Let op: nog geen inschrijvingen","OK"))))))))</f>
        <v>OK</v>
      </c>
    </row>
    <row r="7" spans="1:4" x14ac:dyDescent="0.25">
      <c r="A7" s="5"/>
      <c r="B7" s="6"/>
      <c r="C7" s="6"/>
      <c r="D7" s="7" t="str">
        <f>IF(AND(A7="",B7="",C7=""),"",IF(OR(A7="",B7=""),"Fout: ID en TITLE zijn verplicht",IF(NOT(ISNUMBER(A7)),"Fout: ID moet een getal zijn",IF(OR(A7&lt;1,A7&lt;&gt;INT(A7)),"Fout: ID moet een positief geheel getal zijn",IF(COUNTIF($A$2:$A$200,A7)&gt;1,"Fout: ID komt dubbel voor",IF(C7="","Fout: LOCATION is leeg (gebruik bijv. Online)",IF(OR(LEN(B7)&gt;255,LEN(C7)&gt;255),"Fout: maximaal 255 tekens",IF(COUNTIF(Inschrijvingen!$B$2:$B$200,A7)=0,"Let op: nog geen inschrijvingen","OK"))))))))</f>
        <v/>
      </c>
    </row>
    <row r="8" spans="1:4" x14ac:dyDescent="0.25">
      <c r="A8" s="5"/>
      <c r="B8" s="6"/>
      <c r="C8" s="6"/>
      <c r="D8" s="7" t="str">
        <f>IF(AND(A8="",B8="",C8=""),"",IF(OR(A8="",B8=""),"Fout: ID en TITLE zijn verplicht",IF(NOT(ISNUMBER(A8)),"Fout: ID moet een getal zijn",IF(OR(A8&lt;1,A8&lt;&gt;INT(A8)),"Fout: ID moet een positief geheel getal zijn",IF(COUNTIF($A$2:$A$200,A8)&gt;1,"Fout: ID komt dubbel voor",IF(C8="","Fout: LOCATION is leeg (gebruik bijv. Online)",IF(OR(LEN(B8)&gt;255,LEN(C8)&gt;255),"Fout: maximaal 255 tekens",IF(COUNTIF(Inschrijvingen!$B$2:$B$200,A8)=0,"Let op: nog geen inschrijvingen","OK"))))))))</f>
        <v/>
      </c>
    </row>
    <row r="9" spans="1:4" x14ac:dyDescent="0.25">
      <c r="A9" s="5"/>
      <c r="B9" s="6"/>
      <c r="C9" s="6"/>
      <c r="D9" s="7" t="str">
        <f>IF(AND(A9="",B9="",C9=""),"",IF(OR(A9="",B9=""),"Fout: ID en TITLE zijn verplicht",IF(NOT(ISNUMBER(A9)),"Fout: ID moet een getal zijn",IF(OR(A9&lt;1,A9&lt;&gt;INT(A9)),"Fout: ID moet een positief geheel getal zijn",IF(COUNTIF($A$2:$A$200,A9)&gt;1,"Fout: ID komt dubbel voor",IF(C9="","Fout: LOCATION is leeg (gebruik bijv. Online)",IF(OR(LEN(B9)&gt;255,LEN(C9)&gt;255),"Fout: maximaal 255 tekens",IF(COUNTIF(Inschrijvingen!$B$2:$B$200,A9)=0,"Let op: nog geen inschrijvingen","OK"))))))))</f>
        <v/>
      </c>
    </row>
    <row r="10" spans="1:4" x14ac:dyDescent="0.25">
      <c r="A10" s="5"/>
      <c r="B10" s="6"/>
      <c r="C10" s="6"/>
      <c r="D10" s="7" t="str">
        <f>IF(AND(A10="",B10="",C10=""),"",IF(OR(A10="",B10=""),"Fout: ID en TITLE zijn verplicht",IF(NOT(ISNUMBER(A10)),"Fout: ID moet een getal zijn",IF(OR(A10&lt;1,A10&lt;&gt;INT(A10)),"Fout: ID moet een positief geheel getal zijn",IF(COUNTIF($A$2:$A$200,A10)&gt;1,"Fout: ID komt dubbel voor",IF(C10="","Fout: LOCATION is leeg (gebruik bijv. Online)",IF(OR(LEN(B10)&gt;255,LEN(C10)&gt;255),"Fout: maximaal 255 tekens",IF(COUNTIF(Inschrijvingen!$B$2:$B$200,A10)=0,"Let op: nog geen inschrijvingen","OK"))))))))</f>
        <v/>
      </c>
    </row>
    <row r="11" spans="1:4" x14ac:dyDescent="0.25">
      <c r="A11" s="5"/>
      <c r="B11" s="6"/>
      <c r="C11" s="6"/>
      <c r="D11" s="7" t="str">
        <f>IF(AND(A11="",B11="",C11=""),"",IF(OR(A11="",B11=""),"Fout: ID en TITLE zijn verplicht",IF(NOT(ISNUMBER(A11)),"Fout: ID moet een getal zijn",IF(OR(A11&lt;1,A11&lt;&gt;INT(A11)),"Fout: ID moet een positief geheel getal zijn",IF(COUNTIF($A$2:$A$200,A11)&gt;1,"Fout: ID komt dubbel voor",IF(C11="","Fout: LOCATION is leeg (gebruik bijv. Online)",IF(OR(LEN(B11)&gt;255,LEN(C11)&gt;255),"Fout: maximaal 255 tekens",IF(COUNTIF(Inschrijvingen!$B$2:$B$200,A11)=0,"Let op: nog geen inschrijvingen","OK"))))))))</f>
        <v/>
      </c>
    </row>
    <row r="12" spans="1:4" x14ac:dyDescent="0.25">
      <c r="A12" s="5"/>
      <c r="B12" s="6"/>
      <c r="C12" s="6"/>
      <c r="D12" s="7" t="str">
        <f>IF(AND(A12="",B12="",C12=""),"",IF(OR(A12="",B12=""),"Fout: ID en TITLE zijn verplicht",IF(NOT(ISNUMBER(A12)),"Fout: ID moet een getal zijn",IF(OR(A12&lt;1,A12&lt;&gt;INT(A12)),"Fout: ID moet een positief geheel getal zijn",IF(COUNTIF($A$2:$A$200,A12)&gt;1,"Fout: ID komt dubbel voor",IF(C12="","Fout: LOCATION is leeg (gebruik bijv. Online)",IF(OR(LEN(B12)&gt;255,LEN(C12)&gt;255),"Fout: maximaal 255 tekens",IF(COUNTIF(Inschrijvingen!$B$2:$B$200,A12)=0,"Let op: nog geen inschrijvingen","OK"))))))))</f>
        <v/>
      </c>
    </row>
    <row r="13" spans="1:4" x14ac:dyDescent="0.25">
      <c r="A13" s="5"/>
      <c r="B13" s="6"/>
      <c r="C13" s="6"/>
      <c r="D13" s="7" t="str">
        <f>IF(AND(A13="",B13="",C13=""),"",IF(OR(A13="",B13=""),"Fout: ID en TITLE zijn verplicht",IF(NOT(ISNUMBER(A13)),"Fout: ID moet een getal zijn",IF(OR(A13&lt;1,A13&lt;&gt;INT(A13)),"Fout: ID moet een positief geheel getal zijn",IF(COUNTIF($A$2:$A$200,A13)&gt;1,"Fout: ID komt dubbel voor",IF(C13="","Fout: LOCATION is leeg (gebruik bijv. Online)",IF(OR(LEN(B13)&gt;255,LEN(C13)&gt;255),"Fout: maximaal 255 tekens",IF(COUNTIF(Inschrijvingen!$B$2:$B$200,A13)=0,"Let op: nog geen inschrijvingen","OK"))))))))</f>
        <v/>
      </c>
    </row>
    <row r="14" spans="1:4" x14ac:dyDescent="0.25">
      <c r="A14" s="5"/>
      <c r="B14" s="6"/>
      <c r="C14" s="6"/>
      <c r="D14" s="7" t="str">
        <f>IF(AND(A14="",B14="",C14=""),"",IF(OR(A14="",B14=""),"Fout: ID en TITLE zijn verplicht",IF(NOT(ISNUMBER(A14)),"Fout: ID moet een getal zijn",IF(OR(A14&lt;1,A14&lt;&gt;INT(A14)),"Fout: ID moet een positief geheel getal zijn",IF(COUNTIF($A$2:$A$200,A14)&gt;1,"Fout: ID komt dubbel voor",IF(C14="","Fout: LOCATION is leeg (gebruik bijv. Online)",IF(OR(LEN(B14)&gt;255,LEN(C14)&gt;255),"Fout: maximaal 255 tekens",IF(COUNTIF(Inschrijvingen!$B$2:$B$200,A14)=0,"Let op: nog geen inschrijvingen","OK"))))))))</f>
        <v/>
      </c>
    </row>
    <row r="15" spans="1:4" x14ac:dyDescent="0.25">
      <c r="A15" s="5"/>
      <c r="B15" s="6"/>
      <c r="C15" s="6"/>
      <c r="D15" s="7" t="str">
        <f>IF(AND(A15="",B15="",C15=""),"",IF(OR(A15="",B15=""),"Fout: ID en TITLE zijn verplicht",IF(NOT(ISNUMBER(A15)),"Fout: ID moet een getal zijn",IF(OR(A15&lt;1,A15&lt;&gt;INT(A15)),"Fout: ID moet een positief geheel getal zijn",IF(COUNTIF($A$2:$A$200,A15)&gt;1,"Fout: ID komt dubbel voor",IF(C15="","Fout: LOCATION is leeg (gebruik bijv. Online)",IF(OR(LEN(B15)&gt;255,LEN(C15)&gt;255),"Fout: maximaal 255 tekens",IF(COUNTIF(Inschrijvingen!$B$2:$B$200,A15)=0,"Let op: nog geen inschrijvingen","OK"))))))))</f>
        <v/>
      </c>
    </row>
    <row r="16" spans="1:4" x14ac:dyDescent="0.25">
      <c r="A16" s="5"/>
      <c r="B16" s="6"/>
      <c r="C16" s="6"/>
      <c r="D16" s="7" t="str">
        <f>IF(AND(A16="",B16="",C16=""),"",IF(OR(A16="",B16=""),"Fout: ID en TITLE zijn verplicht",IF(NOT(ISNUMBER(A16)),"Fout: ID moet een getal zijn",IF(OR(A16&lt;1,A16&lt;&gt;INT(A16)),"Fout: ID moet een positief geheel getal zijn",IF(COUNTIF($A$2:$A$200,A16)&gt;1,"Fout: ID komt dubbel voor",IF(C16="","Fout: LOCATION is leeg (gebruik bijv. Online)",IF(OR(LEN(B16)&gt;255,LEN(C16)&gt;255),"Fout: maximaal 255 tekens",IF(COUNTIF(Inschrijvingen!$B$2:$B$200,A16)=0,"Let op: nog geen inschrijvingen","OK"))))))))</f>
        <v/>
      </c>
    </row>
    <row r="17" spans="1:4" x14ac:dyDescent="0.25">
      <c r="A17" s="5"/>
      <c r="B17" s="6"/>
      <c r="C17" s="6"/>
      <c r="D17" s="7" t="str">
        <f>IF(AND(A17="",B17="",C17=""),"",IF(OR(A17="",B17=""),"Fout: ID en TITLE zijn verplicht",IF(NOT(ISNUMBER(A17)),"Fout: ID moet een getal zijn",IF(OR(A17&lt;1,A17&lt;&gt;INT(A17)),"Fout: ID moet een positief geheel getal zijn",IF(COUNTIF($A$2:$A$200,A17)&gt;1,"Fout: ID komt dubbel voor",IF(C17="","Fout: LOCATION is leeg (gebruik bijv. Online)",IF(OR(LEN(B17)&gt;255,LEN(C17)&gt;255),"Fout: maximaal 255 tekens",IF(COUNTIF(Inschrijvingen!$B$2:$B$200,A17)=0,"Let op: nog geen inschrijvingen","OK"))))))))</f>
        <v/>
      </c>
    </row>
    <row r="18" spans="1:4" x14ac:dyDescent="0.25">
      <c r="A18" s="5"/>
      <c r="B18" s="6"/>
      <c r="C18" s="6"/>
      <c r="D18" s="7" t="str">
        <f>IF(AND(A18="",B18="",C18=""),"",IF(OR(A18="",B18=""),"Fout: ID en TITLE zijn verplicht",IF(NOT(ISNUMBER(A18)),"Fout: ID moet een getal zijn",IF(OR(A18&lt;1,A18&lt;&gt;INT(A18)),"Fout: ID moet een positief geheel getal zijn",IF(COUNTIF($A$2:$A$200,A18)&gt;1,"Fout: ID komt dubbel voor",IF(C18="","Fout: LOCATION is leeg (gebruik bijv. Online)",IF(OR(LEN(B18)&gt;255,LEN(C18)&gt;255),"Fout: maximaal 255 tekens",IF(COUNTIF(Inschrijvingen!$B$2:$B$200,A18)=0,"Let op: nog geen inschrijvingen","OK"))))))))</f>
        <v/>
      </c>
    </row>
    <row r="19" spans="1:4" x14ac:dyDescent="0.25">
      <c r="A19" s="5"/>
      <c r="B19" s="6"/>
      <c r="C19" s="6"/>
      <c r="D19" s="7" t="str">
        <f>IF(AND(A19="",B19="",C19=""),"",IF(OR(A19="",B19=""),"Fout: ID en TITLE zijn verplicht",IF(NOT(ISNUMBER(A19)),"Fout: ID moet een getal zijn",IF(OR(A19&lt;1,A19&lt;&gt;INT(A19)),"Fout: ID moet een positief geheel getal zijn",IF(COUNTIF($A$2:$A$200,A19)&gt;1,"Fout: ID komt dubbel voor",IF(C19="","Fout: LOCATION is leeg (gebruik bijv. Online)",IF(OR(LEN(B19)&gt;255,LEN(C19)&gt;255),"Fout: maximaal 255 tekens",IF(COUNTIF(Inschrijvingen!$B$2:$B$200,A19)=0,"Let op: nog geen inschrijvingen","OK"))))))))</f>
        <v/>
      </c>
    </row>
    <row r="20" spans="1:4" x14ac:dyDescent="0.25">
      <c r="A20" s="5"/>
      <c r="B20" s="6"/>
      <c r="C20" s="6"/>
      <c r="D20" s="7" t="str">
        <f>IF(AND(A20="",B20="",C20=""),"",IF(OR(A20="",B20=""),"Fout: ID en TITLE zijn verplicht",IF(NOT(ISNUMBER(A20)),"Fout: ID moet een getal zijn",IF(OR(A20&lt;1,A20&lt;&gt;INT(A20)),"Fout: ID moet een positief geheel getal zijn",IF(COUNTIF($A$2:$A$200,A20)&gt;1,"Fout: ID komt dubbel voor",IF(C20="","Fout: LOCATION is leeg (gebruik bijv. Online)",IF(OR(LEN(B20)&gt;255,LEN(C20)&gt;255),"Fout: maximaal 255 tekens",IF(COUNTIF(Inschrijvingen!$B$2:$B$200,A20)=0,"Let op: nog geen inschrijvingen","OK"))))))))</f>
        <v/>
      </c>
    </row>
    <row r="21" spans="1:4" x14ac:dyDescent="0.25">
      <c r="A21" s="5"/>
      <c r="B21" s="6"/>
      <c r="C21" s="6"/>
      <c r="D21" s="7" t="str">
        <f>IF(AND(A21="",B21="",C21=""),"",IF(OR(A21="",B21=""),"Fout: ID en TITLE zijn verplicht",IF(NOT(ISNUMBER(A21)),"Fout: ID moet een getal zijn",IF(OR(A21&lt;1,A21&lt;&gt;INT(A21)),"Fout: ID moet een positief geheel getal zijn",IF(COUNTIF($A$2:$A$200,A21)&gt;1,"Fout: ID komt dubbel voor",IF(C21="","Fout: LOCATION is leeg (gebruik bijv. Online)",IF(OR(LEN(B21)&gt;255,LEN(C21)&gt;255),"Fout: maximaal 255 tekens",IF(COUNTIF(Inschrijvingen!$B$2:$B$200,A21)=0,"Let op: nog geen inschrijvingen","OK"))))))))</f>
        <v/>
      </c>
    </row>
    <row r="22" spans="1:4" x14ac:dyDescent="0.25">
      <c r="A22" s="5"/>
      <c r="B22" s="6"/>
      <c r="C22" s="6"/>
      <c r="D22" s="7" t="str">
        <f>IF(AND(A22="",B22="",C22=""),"",IF(OR(A22="",B22=""),"Fout: ID en TITLE zijn verplicht",IF(NOT(ISNUMBER(A22)),"Fout: ID moet een getal zijn",IF(OR(A22&lt;1,A22&lt;&gt;INT(A22)),"Fout: ID moet een positief geheel getal zijn",IF(COUNTIF($A$2:$A$200,A22)&gt;1,"Fout: ID komt dubbel voor",IF(C22="","Fout: LOCATION is leeg (gebruik bijv. Online)",IF(OR(LEN(B22)&gt;255,LEN(C22)&gt;255),"Fout: maximaal 255 tekens",IF(COUNTIF(Inschrijvingen!$B$2:$B$200,A22)=0,"Let op: nog geen inschrijvingen","OK"))))))))</f>
        <v/>
      </c>
    </row>
    <row r="23" spans="1:4" x14ac:dyDescent="0.25">
      <c r="A23" s="5"/>
      <c r="B23" s="6"/>
      <c r="C23" s="6"/>
      <c r="D23" s="7" t="str">
        <f>IF(AND(A23="",B23="",C23=""),"",IF(OR(A23="",B23=""),"Fout: ID en TITLE zijn verplicht",IF(NOT(ISNUMBER(A23)),"Fout: ID moet een getal zijn",IF(OR(A23&lt;1,A23&lt;&gt;INT(A23)),"Fout: ID moet een positief geheel getal zijn",IF(COUNTIF($A$2:$A$200,A23)&gt;1,"Fout: ID komt dubbel voor",IF(C23="","Fout: LOCATION is leeg (gebruik bijv. Online)",IF(OR(LEN(B23)&gt;255,LEN(C23)&gt;255),"Fout: maximaal 255 tekens",IF(COUNTIF(Inschrijvingen!$B$2:$B$200,A23)=0,"Let op: nog geen inschrijvingen","OK"))))))))</f>
        <v/>
      </c>
    </row>
    <row r="24" spans="1:4" x14ac:dyDescent="0.25">
      <c r="A24" s="5"/>
      <c r="B24" s="6"/>
      <c r="C24" s="6"/>
      <c r="D24" s="7" t="str">
        <f>IF(AND(A24="",B24="",C24=""),"",IF(OR(A24="",B24=""),"Fout: ID en TITLE zijn verplicht",IF(NOT(ISNUMBER(A24)),"Fout: ID moet een getal zijn",IF(OR(A24&lt;1,A24&lt;&gt;INT(A24)),"Fout: ID moet een positief geheel getal zijn",IF(COUNTIF($A$2:$A$200,A24)&gt;1,"Fout: ID komt dubbel voor",IF(C24="","Fout: LOCATION is leeg (gebruik bijv. Online)",IF(OR(LEN(B24)&gt;255,LEN(C24)&gt;255),"Fout: maximaal 255 tekens",IF(COUNTIF(Inschrijvingen!$B$2:$B$200,A24)=0,"Let op: nog geen inschrijvingen","OK"))))))))</f>
        <v/>
      </c>
    </row>
    <row r="25" spans="1:4" x14ac:dyDescent="0.25">
      <c r="A25" s="5"/>
      <c r="B25" s="6"/>
      <c r="C25" s="6"/>
      <c r="D25" s="7" t="str">
        <f>IF(AND(A25="",B25="",C25=""),"",IF(OR(A25="",B25=""),"Fout: ID en TITLE zijn verplicht",IF(NOT(ISNUMBER(A25)),"Fout: ID moet een getal zijn",IF(OR(A25&lt;1,A25&lt;&gt;INT(A25)),"Fout: ID moet een positief geheel getal zijn",IF(COUNTIF($A$2:$A$200,A25)&gt;1,"Fout: ID komt dubbel voor",IF(C25="","Fout: LOCATION is leeg (gebruik bijv. Online)",IF(OR(LEN(B25)&gt;255,LEN(C25)&gt;255),"Fout: maximaal 255 tekens",IF(COUNTIF(Inschrijvingen!$B$2:$B$200,A25)=0,"Let op: nog geen inschrijvingen","OK"))))))))</f>
        <v/>
      </c>
    </row>
    <row r="26" spans="1:4" x14ac:dyDescent="0.25">
      <c r="A26" s="5"/>
      <c r="B26" s="6"/>
      <c r="C26" s="6"/>
      <c r="D26" s="7" t="str">
        <f>IF(AND(A26="",B26="",C26=""),"",IF(OR(A26="",B26=""),"Fout: ID en TITLE zijn verplicht",IF(NOT(ISNUMBER(A26)),"Fout: ID moet een getal zijn",IF(OR(A26&lt;1,A26&lt;&gt;INT(A26)),"Fout: ID moet een positief geheel getal zijn",IF(COUNTIF($A$2:$A$200,A26)&gt;1,"Fout: ID komt dubbel voor",IF(C26="","Fout: LOCATION is leeg (gebruik bijv. Online)",IF(OR(LEN(B26)&gt;255,LEN(C26)&gt;255),"Fout: maximaal 255 tekens",IF(COUNTIF(Inschrijvingen!$B$2:$B$200,A26)=0,"Let op: nog geen inschrijvingen","OK"))))))))</f>
        <v/>
      </c>
    </row>
    <row r="27" spans="1:4" x14ac:dyDescent="0.25">
      <c r="A27" s="5"/>
      <c r="B27" s="6"/>
      <c r="C27" s="6"/>
      <c r="D27" s="7" t="str">
        <f>IF(AND(A27="",B27="",C27=""),"",IF(OR(A27="",B27=""),"Fout: ID en TITLE zijn verplicht",IF(NOT(ISNUMBER(A27)),"Fout: ID moet een getal zijn",IF(OR(A27&lt;1,A27&lt;&gt;INT(A27)),"Fout: ID moet een positief geheel getal zijn",IF(COUNTIF($A$2:$A$200,A27)&gt;1,"Fout: ID komt dubbel voor",IF(C27="","Fout: LOCATION is leeg (gebruik bijv. Online)",IF(OR(LEN(B27)&gt;255,LEN(C27)&gt;255),"Fout: maximaal 255 tekens",IF(COUNTIF(Inschrijvingen!$B$2:$B$200,A27)=0,"Let op: nog geen inschrijvingen","OK"))))))))</f>
        <v/>
      </c>
    </row>
    <row r="28" spans="1:4" x14ac:dyDescent="0.25">
      <c r="A28" s="5"/>
      <c r="B28" s="6"/>
      <c r="C28" s="6"/>
      <c r="D28" s="7" t="str">
        <f>IF(AND(A28="",B28="",C28=""),"",IF(OR(A28="",B28=""),"Fout: ID en TITLE zijn verplicht",IF(NOT(ISNUMBER(A28)),"Fout: ID moet een getal zijn",IF(OR(A28&lt;1,A28&lt;&gt;INT(A28)),"Fout: ID moet een positief geheel getal zijn",IF(COUNTIF($A$2:$A$200,A28)&gt;1,"Fout: ID komt dubbel voor",IF(C28="","Fout: LOCATION is leeg (gebruik bijv. Online)",IF(OR(LEN(B28)&gt;255,LEN(C28)&gt;255),"Fout: maximaal 255 tekens",IF(COUNTIF(Inschrijvingen!$B$2:$B$200,A28)=0,"Let op: nog geen inschrijvingen","OK"))))))))</f>
        <v/>
      </c>
    </row>
    <row r="29" spans="1:4" x14ac:dyDescent="0.25">
      <c r="A29" s="5"/>
      <c r="B29" s="6"/>
      <c r="C29" s="6"/>
      <c r="D29" s="7" t="str">
        <f>IF(AND(A29="",B29="",C29=""),"",IF(OR(A29="",B29=""),"Fout: ID en TITLE zijn verplicht",IF(NOT(ISNUMBER(A29)),"Fout: ID moet een getal zijn",IF(OR(A29&lt;1,A29&lt;&gt;INT(A29)),"Fout: ID moet een positief geheel getal zijn",IF(COUNTIF($A$2:$A$200,A29)&gt;1,"Fout: ID komt dubbel voor",IF(C29="","Fout: LOCATION is leeg (gebruik bijv. Online)",IF(OR(LEN(B29)&gt;255,LEN(C29)&gt;255),"Fout: maximaal 255 tekens",IF(COUNTIF(Inschrijvingen!$B$2:$B$200,A29)=0,"Let op: nog geen inschrijvingen","OK"))))))))</f>
        <v/>
      </c>
    </row>
    <row r="30" spans="1:4" x14ac:dyDescent="0.25">
      <c r="A30" s="5"/>
      <c r="B30" s="6"/>
      <c r="C30" s="6"/>
      <c r="D30" s="7" t="str">
        <f>IF(AND(A30="",B30="",C30=""),"",IF(OR(A30="",B30=""),"Fout: ID en TITLE zijn verplicht",IF(NOT(ISNUMBER(A30)),"Fout: ID moet een getal zijn",IF(OR(A30&lt;1,A30&lt;&gt;INT(A30)),"Fout: ID moet een positief geheel getal zijn",IF(COUNTIF($A$2:$A$200,A30)&gt;1,"Fout: ID komt dubbel voor",IF(C30="","Fout: LOCATION is leeg (gebruik bijv. Online)",IF(OR(LEN(B30)&gt;255,LEN(C30)&gt;255),"Fout: maximaal 255 tekens",IF(COUNTIF(Inschrijvingen!$B$2:$B$200,A30)=0,"Let op: nog geen inschrijvingen","OK"))))))))</f>
        <v/>
      </c>
    </row>
    <row r="31" spans="1:4" x14ac:dyDescent="0.25">
      <c r="A31" s="5"/>
      <c r="B31" s="6"/>
      <c r="C31" s="6"/>
      <c r="D31" s="7" t="str">
        <f>IF(AND(A31="",B31="",C31=""),"",IF(OR(A31="",B31=""),"Fout: ID en TITLE zijn verplicht",IF(NOT(ISNUMBER(A31)),"Fout: ID moet een getal zijn",IF(OR(A31&lt;1,A31&lt;&gt;INT(A31)),"Fout: ID moet een positief geheel getal zijn",IF(COUNTIF($A$2:$A$200,A31)&gt;1,"Fout: ID komt dubbel voor",IF(C31="","Fout: LOCATION is leeg (gebruik bijv. Online)",IF(OR(LEN(B31)&gt;255,LEN(C31)&gt;255),"Fout: maximaal 255 tekens",IF(COUNTIF(Inschrijvingen!$B$2:$B$200,A31)=0,"Let op: nog geen inschrijvingen","OK"))))))))</f>
        <v/>
      </c>
    </row>
    <row r="32" spans="1:4" x14ac:dyDescent="0.25">
      <c r="A32" s="5"/>
      <c r="B32" s="6"/>
      <c r="C32" s="6"/>
      <c r="D32" s="7" t="str">
        <f>IF(AND(A32="",B32="",C32=""),"",IF(OR(A32="",B32=""),"Fout: ID en TITLE zijn verplicht",IF(NOT(ISNUMBER(A32)),"Fout: ID moet een getal zijn",IF(OR(A32&lt;1,A32&lt;&gt;INT(A32)),"Fout: ID moet een positief geheel getal zijn",IF(COUNTIF($A$2:$A$200,A32)&gt;1,"Fout: ID komt dubbel voor",IF(C32="","Fout: LOCATION is leeg (gebruik bijv. Online)",IF(OR(LEN(B32)&gt;255,LEN(C32)&gt;255),"Fout: maximaal 255 tekens",IF(COUNTIF(Inschrijvingen!$B$2:$B$200,A32)=0,"Let op: nog geen inschrijvingen","OK"))))))))</f>
        <v/>
      </c>
    </row>
    <row r="33" spans="1:4" x14ac:dyDescent="0.25">
      <c r="A33" s="5"/>
      <c r="B33" s="6"/>
      <c r="C33" s="6"/>
      <c r="D33" s="7" t="str">
        <f>IF(AND(A33="",B33="",C33=""),"",IF(OR(A33="",B33=""),"Fout: ID en TITLE zijn verplicht",IF(NOT(ISNUMBER(A33)),"Fout: ID moet een getal zijn",IF(OR(A33&lt;1,A33&lt;&gt;INT(A33)),"Fout: ID moet een positief geheel getal zijn",IF(COUNTIF($A$2:$A$200,A33)&gt;1,"Fout: ID komt dubbel voor",IF(C33="","Fout: LOCATION is leeg (gebruik bijv. Online)",IF(OR(LEN(B33)&gt;255,LEN(C33)&gt;255),"Fout: maximaal 255 tekens",IF(COUNTIF(Inschrijvingen!$B$2:$B$200,A33)=0,"Let op: nog geen inschrijvingen","OK"))))))))</f>
        <v/>
      </c>
    </row>
    <row r="34" spans="1:4" x14ac:dyDescent="0.25">
      <c r="A34" s="5"/>
      <c r="B34" s="6"/>
      <c r="C34" s="6"/>
      <c r="D34" s="7" t="str">
        <f>IF(AND(A34="",B34="",C34=""),"",IF(OR(A34="",B34=""),"Fout: ID en TITLE zijn verplicht",IF(NOT(ISNUMBER(A34)),"Fout: ID moet een getal zijn",IF(OR(A34&lt;1,A34&lt;&gt;INT(A34)),"Fout: ID moet een positief geheel getal zijn",IF(COUNTIF($A$2:$A$200,A34)&gt;1,"Fout: ID komt dubbel voor",IF(C34="","Fout: LOCATION is leeg (gebruik bijv. Online)",IF(OR(LEN(B34)&gt;255,LEN(C34)&gt;255),"Fout: maximaal 255 tekens",IF(COUNTIF(Inschrijvingen!$B$2:$B$200,A34)=0,"Let op: nog geen inschrijvingen","OK"))))))))</f>
        <v/>
      </c>
    </row>
    <row r="35" spans="1:4" x14ac:dyDescent="0.25">
      <c r="A35" s="5"/>
      <c r="B35" s="6"/>
      <c r="C35" s="6"/>
      <c r="D35" s="7" t="str">
        <f>IF(AND(A35="",B35="",C35=""),"",IF(OR(A35="",B35=""),"Fout: ID en TITLE zijn verplicht",IF(NOT(ISNUMBER(A35)),"Fout: ID moet een getal zijn",IF(OR(A35&lt;1,A35&lt;&gt;INT(A35)),"Fout: ID moet een positief geheel getal zijn",IF(COUNTIF($A$2:$A$200,A35)&gt;1,"Fout: ID komt dubbel voor",IF(C35="","Fout: LOCATION is leeg (gebruik bijv. Online)",IF(OR(LEN(B35)&gt;255,LEN(C35)&gt;255),"Fout: maximaal 255 tekens",IF(COUNTIF(Inschrijvingen!$B$2:$B$200,A35)=0,"Let op: nog geen inschrijvingen","OK"))))))))</f>
        <v/>
      </c>
    </row>
    <row r="36" spans="1:4" x14ac:dyDescent="0.25">
      <c r="A36" s="5"/>
      <c r="B36" s="6"/>
      <c r="C36" s="6"/>
      <c r="D36" s="7" t="str">
        <f>IF(AND(A36="",B36="",C36=""),"",IF(OR(A36="",B36=""),"Fout: ID en TITLE zijn verplicht",IF(NOT(ISNUMBER(A36)),"Fout: ID moet een getal zijn",IF(OR(A36&lt;1,A36&lt;&gt;INT(A36)),"Fout: ID moet een positief geheel getal zijn",IF(COUNTIF($A$2:$A$200,A36)&gt;1,"Fout: ID komt dubbel voor",IF(C36="","Fout: LOCATION is leeg (gebruik bijv. Online)",IF(OR(LEN(B36)&gt;255,LEN(C36)&gt;255),"Fout: maximaal 255 tekens",IF(COUNTIF(Inschrijvingen!$B$2:$B$200,A36)=0,"Let op: nog geen inschrijvingen","OK"))))))))</f>
        <v/>
      </c>
    </row>
    <row r="37" spans="1:4" x14ac:dyDescent="0.25">
      <c r="A37" s="5"/>
      <c r="B37" s="6"/>
      <c r="C37" s="6"/>
      <c r="D37" s="7" t="str">
        <f>IF(AND(A37="",B37="",C37=""),"",IF(OR(A37="",B37=""),"Fout: ID en TITLE zijn verplicht",IF(NOT(ISNUMBER(A37)),"Fout: ID moet een getal zijn",IF(OR(A37&lt;1,A37&lt;&gt;INT(A37)),"Fout: ID moet een positief geheel getal zijn",IF(COUNTIF($A$2:$A$200,A37)&gt;1,"Fout: ID komt dubbel voor",IF(C37="","Fout: LOCATION is leeg (gebruik bijv. Online)",IF(OR(LEN(B37)&gt;255,LEN(C37)&gt;255),"Fout: maximaal 255 tekens",IF(COUNTIF(Inschrijvingen!$B$2:$B$200,A37)=0,"Let op: nog geen inschrijvingen","OK"))))))))</f>
        <v/>
      </c>
    </row>
    <row r="38" spans="1:4" x14ac:dyDescent="0.25">
      <c r="A38" s="5"/>
      <c r="B38" s="6"/>
      <c r="C38" s="6"/>
      <c r="D38" s="7" t="str">
        <f>IF(AND(A38="",B38="",C38=""),"",IF(OR(A38="",B38=""),"Fout: ID en TITLE zijn verplicht",IF(NOT(ISNUMBER(A38)),"Fout: ID moet een getal zijn",IF(OR(A38&lt;1,A38&lt;&gt;INT(A38)),"Fout: ID moet een positief geheel getal zijn",IF(COUNTIF($A$2:$A$200,A38)&gt;1,"Fout: ID komt dubbel voor",IF(C38="","Fout: LOCATION is leeg (gebruik bijv. Online)",IF(OR(LEN(B38)&gt;255,LEN(C38)&gt;255),"Fout: maximaal 255 tekens",IF(COUNTIF(Inschrijvingen!$B$2:$B$200,A38)=0,"Let op: nog geen inschrijvingen","OK"))))))))</f>
        <v/>
      </c>
    </row>
    <row r="39" spans="1:4" x14ac:dyDescent="0.25">
      <c r="A39" s="5"/>
      <c r="B39" s="6"/>
      <c r="C39" s="6"/>
      <c r="D39" s="7" t="str">
        <f>IF(AND(A39="",B39="",C39=""),"",IF(OR(A39="",B39=""),"Fout: ID en TITLE zijn verplicht",IF(NOT(ISNUMBER(A39)),"Fout: ID moet een getal zijn",IF(OR(A39&lt;1,A39&lt;&gt;INT(A39)),"Fout: ID moet een positief geheel getal zijn",IF(COUNTIF($A$2:$A$200,A39)&gt;1,"Fout: ID komt dubbel voor",IF(C39="","Fout: LOCATION is leeg (gebruik bijv. Online)",IF(OR(LEN(B39)&gt;255,LEN(C39)&gt;255),"Fout: maximaal 255 tekens",IF(COUNTIF(Inschrijvingen!$B$2:$B$200,A39)=0,"Let op: nog geen inschrijvingen","OK"))))))))</f>
        <v/>
      </c>
    </row>
    <row r="40" spans="1:4" x14ac:dyDescent="0.25">
      <c r="A40" s="5"/>
      <c r="B40" s="6"/>
      <c r="C40" s="6"/>
      <c r="D40" s="7" t="str">
        <f>IF(AND(A40="",B40="",C40=""),"",IF(OR(A40="",B40=""),"Fout: ID en TITLE zijn verplicht",IF(NOT(ISNUMBER(A40)),"Fout: ID moet een getal zijn",IF(OR(A40&lt;1,A40&lt;&gt;INT(A40)),"Fout: ID moet een positief geheel getal zijn",IF(COUNTIF($A$2:$A$200,A40)&gt;1,"Fout: ID komt dubbel voor",IF(C40="","Fout: LOCATION is leeg (gebruik bijv. Online)",IF(OR(LEN(B40)&gt;255,LEN(C40)&gt;255),"Fout: maximaal 255 tekens",IF(COUNTIF(Inschrijvingen!$B$2:$B$200,A40)=0,"Let op: nog geen inschrijvingen","OK"))))))))</f>
        <v/>
      </c>
    </row>
    <row r="41" spans="1:4" x14ac:dyDescent="0.25">
      <c r="A41" s="5"/>
      <c r="B41" s="6"/>
      <c r="C41" s="6"/>
      <c r="D41" s="7" t="str">
        <f>IF(AND(A41="",B41="",C41=""),"",IF(OR(A41="",B41=""),"Fout: ID en TITLE zijn verplicht",IF(NOT(ISNUMBER(A41)),"Fout: ID moet een getal zijn",IF(OR(A41&lt;1,A41&lt;&gt;INT(A41)),"Fout: ID moet een positief geheel getal zijn",IF(COUNTIF($A$2:$A$200,A41)&gt;1,"Fout: ID komt dubbel voor",IF(C41="","Fout: LOCATION is leeg (gebruik bijv. Online)",IF(OR(LEN(B41)&gt;255,LEN(C41)&gt;255),"Fout: maximaal 255 tekens",IF(COUNTIF(Inschrijvingen!$B$2:$B$200,A41)=0,"Let op: nog geen inschrijvingen","OK"))))))))</f>
        <v/>
      </c>
    </row>
    <row r="42" spans="1:4" x14ac:dyDescent="0.25">
      <c r="A42" s="5"/>
      <c r="B42" s="6"/>
      <c r="C42" s="6"/>
      <c r="D42" s="7" t="str">
        <f>IF(AND(A42="",B42="",C42=""),"",IF(OR(A42="",B42=""),"Fout: ID en TITLE zijn verplicht",IF(NOT(ISNUMBER(A42)),"Fout: ID moet een getal zijn",IF(OR(A42&lt;1,A42&lt;&gt;INT(A42)),"Fout: ID moet een positief geheel getal zijn",IF(COUNTIF($A$2:$A$200,A42)&gt;1,"Fout: ID komt dubbel voor",IF(C42="","Fout: LOCATION is leeg (gebruik bijv. Online)",IF(OR(LEN(B42)&gt;255,LEN(C42)&gt;255),"Fout: maximaal 255 tekens",IF(COUNTIF(Inschrijvingen!$B$2:$B$200,A42)=0,"Let op: nog geen inschrijvingen","OK"))))))))</f>
        <v/>
      </c>
    </row>
    <row r="43" spans="1:4" x14ac:dyDescent="0.25">
      <c r="A43" s="5"/>
      <c r="B43" s="6"/>
      <c r="C43" s="6"/>
      <c r="D43" s="7" t="str">
        <f>IF(AND(A43="",B43="",C43=""),"",IF(OR(A43="",B43=""),"Fout: ID en TITLE zijn verplicht",IF(NOT(ISNUMBER(A43)),"Fout: ID moet een getal zijn",IF(OR(A43&lt;1,A43&lt;&gt;INT(A43)),"Fout: ID moet een positief geheel getal zijn",IF(COUNTIF($A$2:$A$200,A43)&gt;1,"Fout: ID komt dubbel voor",IF(C43="","Fout: LOCATION is leeg (gebruik bijv. Online)",IF(OR(LEN(B43)&gt;255,LEN(C43)&gt;255),"Fout: maximaal 255 tekens",IF(COUNTIF(Inschrijvingen!$B$2:$B$200,A43)=0,"Let op: nog geen inschrijvingen","OK"))))))))</f>
        <v/>
      </c>
    </row>
    <row r="44" spans="1:4" x14ac:dyDescent="0.25">
      <c r="A44" s="5"/>
      <c r="B44" s="6"/>
      <c r="C44" s="6"/>
      <c r="D44" s="7" t="str">
        <f>IF(AND(A44="",B44="",C44=""),"",IF(OR(A44="",B44=""),"Fout: ID en TITLE zijn verplicht",IF(NOT(ISNUMBER(A44)),"Fout: ID moet een getal zijn",IF(OR(A44&lt;1,A44&lt;&gt;INT(A44)),"Fout: ID moet een positief geheel getal zijn",IF(COUNTIF($A$2:$A$200,A44)&gt;1,"Fout: ID komt dubbel voor",IF(C44="","Fout: LOCATION is leeg (gebruik bijv. Online)",IF(OR(LEN(B44)&gt;255,LEN(C44)&gt;255),"Fout: maximaal 255 tekens",IF(COUNTIF(Inschrijvingen!$B$2:$B$200,A44)=0,"Let op: nog geen inschrijvingen","OK"))))))))</f>
        <v/>
      </c>
    </row>
    <row r="45" spans="1:4" x14ac:dyDescent="0.25">
      <c r="A45" s="5"/>
      <c r="B45" s="6"/>
      <c r="C45" s="6"/>
      <c r="D45" s="7" t="str">
        <f>IF(AND(A45="",B45="",C45=""),"",IF(OR(A45="",B45=""),"Fout: ID en TITLE zijn verplicht",IF(NOT(ISNUMBER(A45)),"Fout: ID moet een getal zijn",IF(OR(A45&lt;1,A45&lt;&gt;INT(A45)),"Fout: ID moet een positief geheel getal zijn",IF(COUNTIF($A$2:$A$200,A45)&gt;1,"Fout: ID komt dubbel voor",IF(C45="","Fout: LOCATION is leeg (gebruik bijv. Online)",IF(OR(LEN(B45)&gt;255,LEN(C45)&gt;255),"Fout: maximaal 255 tekens",IF(COUNTIF(Inschrijvingen!$B$2:$B$200,A45)=0,"Let op: nog geen inschrijvingen","OK"))))))))</f>
        <v/>
      </c>
    </row>
    <row r="46" spans="1:4" x14ac:dyDescent="0.25">
      <c r="A46" s="5"/>
      <c r="B46" s="6"/>
      <c r="C46" s="6"/>
      <c r="D46" s="7" t="str">
        <f>IF(AND(A46="",B46="",C46=""),"",IF(OR(A46="",B46=""),"Fout: ID en TITLE zijn verplicht",IF(NOT(ISNUMBER(A46)),"Fout: ID moet een getal zijn",IF(OR(A46&lt;1,A46&lt;&gt;INT(A46)),"Fout: ID moet een positief geheel getal zijn",IF(COUNTIF($A$2:$A$200,A46)&gt;1,"Fout: ID komt dubbel voor",IF(C46="","Fout: LOCATION is leeg (gebruik bijv. Online)",IF(OR(LEN(B46)&gt;255,LEN(C46)&gt;255),"Fout: maximaal 255 tekens",IF(COUNTIF(Inschrijvingen!$B$2:$B$200,A46)=0,"Let op: nog geen inschrijvingen","OK"))))))))</f>
        <v/>
      </c>
    </row>
    <row r="47" spans="1:4" x14ac:dyDescent="0.25">
      <c r="A47" s="5"/>
      <c r="B47" s="6"/>
      <c r="C47" s="6"/>
      <c r="D47" s="7" t="str">
        <f>IF(AND(A47="",B47="",C47=""),"",IF(OR(A47="",B47=""),"Fout: ID en TITLE zijn verplicht",IF(NOT(ISNUMBER(A47)),"Fout: ID moet een getal zijn",IF(OR(A47&lt;1,A47&lt;&gt;INT(A47)),"Fout: ID moet een positief geheel getal zijn",IF(COUNTIF($A$2:$A$200,A47)&gt;1,"Fout: ID komt dubbel voor",IF(C47="","Fout: LOCATION is leeg (gebruik bijv. Online)",IF(OR(LEN(B47)&gt;255,LEN(C47)&gt;255),"Fout: maximaal 255 tekens",IF(COUNTIF(Inschrijvingen!$B$2:$B$200,A47)=0,"Let op: nog geen inschrijvingen","OK"))))))))</f>
        <v/>
      </c>
    </row>
    <row r="48" spans="1:4" x14ac:dyDescent="0.25">
      <c r="A48" s="5"/>
      <c r="B48" s="6"/>
      <c r="C48" s="6"/>
      <c r="D48" s="7" t="str">
        <f>IF(AND(A48="",B48="",C48=""),"",IF(OR(A48="",B48=""),"Fout: ID en TITLE zijn verplicht",IF(NOT(ISNUMBER(A48)),"Fout: ID moet een getal zijn",IF(OR(A48&lt;1,A48&lt;&gt;INT(A48)),"Fout: ID moet een positief geheel getal zijn",IF(COUNTIF($A$2:$A$200,A48)&gt;1,"Fout: ID komt dubbel voor",IF(C48="","Fout: LOCATION is leeg (gebruik bijv. Online)",IF(OR(LEN(B48)&gt;255,LEN(C48)&gt;255),"Fout: maximaal 255 tekens",IF(COUNTIF(Inschrijvingen!$B$2:$B$200,A48)=0,"Let op: nog geen inschrijvingen","OK"))))))))</f>
        <v/>
      </c>
    </row>
    <row r="49" spans="1:4" x14ac:dyDescent="0.25">
      <c r="A49" s="5"/>
      <c r="B49" s="6"/>
      <c r="C49" s="6"/>
      <c r="D49" s="7" t="str">
        <f>IF(AND(A49="",B49="",C49=""),"",IF(OR(A49="",B49=""),"Fout: ID en TITLE zijn verplicht",IF(NOT(ISNUMBER(A49)),"Fout: ID moet een getal zijn",IF(OR(A49&lt;1,A49&lt;&gt;INT(A49)),"Fout: ID moet een positief geheel getal zijn",IF(COUNTIF($A$2:$A$200,A49)&gt;1,"Fout: ID komt dubbel voor",IF(C49="","Fout: LOCATION is leeg (gebruik bijv. Online)",IF(OR(LEN(B49)&gt;255,LEN(C49)&gt;255),"Fout: maximaal 255 tekens",IF(COUNTIF(Inschrijvingen!$B$2:$B$200,A49)=0,"Let op: nog geen inschrijvingen","OK"))))))))</f>
        <v/>
      </c>
    </row>
    <row r="50" spans="1:4" x14ac:dyDescent="0.25">
      <c r="A50" s="5"/>
      <c r="B50" s="6"/>
      <c r="C50" s="6"/>
      <c r="D50" s="7" t="str">
        <f>IF(AND(A50="",B50="",C50=""),"",IF(OR(A50="",B50=""),"Fout: ID en TITLE zijn verplicht",IF(NOT(ISNUMBER(A50)),"Fout: ID moet een getal zijn",IF(OR(A50&lt;1,A50&lt;&gt;INT(A50)),"Fout: ID moet een positief geheel getal zijn",IF(COUNTIF($A$2:$A$200,A50)&gt;1,"Fout: ID komt dubbel voor",IF(C50="","Fout: LOCATION is leeg (gebruik bijv. Online)",IF(OR(LEN(B50)&gt;255,LEN(C50)&gt;255),"Fout: maximaal 255 tekens",IF(COUNTIF(Inschrijvingen!$B$2:$B$200,A50)=0,"Let op: nog geen inschrijvingen","OK"))))))))</f>
        <v/>
      </c>
    </row>
    <row r="51" spans="1:4" x14ac:dyDescent="0.25">
      <c r="A51" s="5"/>
      <c r="B51" s="6"/>
      <c r="C51" s="6"/>
      <c r="D51" s="7" t="str">
        <f>IF(AND(A51="",B51="",C51=""),"",IF(OR(A51="",B51=""),"Fout: ID en TITLE zijn verplicht",IF(NOT(ISNUMBER(A51)),"Fout: ID moet een getal zijn",IF(OR(A51&lt;1,A51&lt;&gt;INT(A51)),"Fout: ID moet een positief geheel getal zijn",IF(COUNTIF($A$2:$A$200,A51)&gt;1,"Fout: ID komt dubbel voor",IF(C51="","Fout: LOCATION is leeg (gebruik bijv. Online)",IF(OR(LEN(B51)&gt;255,LEN(C51)&gt;255),"Fout: maximaal 255 tekens",IF(COUNTIF(Inschrijvingen!$B$2:$B$200,A51)=0,"Let op: nog geen inschrijvingen","OK"))))))))</f>
        <v/>
      </c>
    </row>
    <row r="52" spans="1:4" x14ac:dyDescent="0.25">
      <c r="A52" s="5"/>
      <c r="B52" s="6"/>
      <c r="C52" s="6"/>
      <c r="D52" s="7" t="str">
        <f>IF(AND(A52="",B52="",C52=""),"",IF(OR(A52="",B52=""),"Fout: ID en TITLE zijn verplicht",IF(NOT(ISNUMBER(A52)),"Fout: ID moet een getal zijn",IF(OR(A52&lt;1,A52&lt;&gt;INT(A52)),"Fout: ID moet een positief geheel getal zijn",IF(COUNTIF($A$2:$A$200,A52)&gt;1,"Fout: ID komt dubbel voor",IF(C52="","Fout: LOCATION is leeg (gebruik bijv. Online)",IF(OR(LEN(B52)&gt;255,LEN(C52)&gt;255),"Fout: maximaal 255 tekens",IF(COUNTIF(Inschrijvingen!$B$2:$B$200,A52)=0,"Let op: nog geen inschrijvingen","OK"))))))))</f>
        <v/>
      </c>
    </row>
    <row r="53" spans="1:4" x14ac:dyDescent="0.25">
      <c r="A53" s="5"/>
      <c r="B53" s="6"/>
      <c r="C53" s="6"/>
      <c r="D53" s="7" t="str">
        <f>IF(AND(A53="",B53="",C53=""),"",IF(OR(A53="",B53=""),"Fout: ID en TITLE zijn verplicht",IF(NOT(ISNUMBER(A53)),"Fout: ID moet een getal zijn",IF(OR(A53&lt;1,A53&lt;&gt;INT(A53)),"Fout: ID moet een positief geheel getal zijn",IF(COUNTIF($A$2:$A$200,A53)&gt;1,"Fout: ID komt dubbel voor",IF(C53="","Fout: LOCATION is leeg (gebruik bijv. Online)",IF(OR(LEN(B53)&gt;255,LEN(C53)&gt;255),"Fout: maximaal 255 tekens",IF(COUNTIF(Inschrijvingen!$B$2:$B$200,A53)=0,"Let op: nog geen inschrijvingen","OK"))))))))</f>
        <v/>
      </c>
    </row>
    <row r="54" spans="1:4" x14ac:dyDescent="0.25">
      <c r="A54" s="5"/>
      <c r="B54" s="6"/>
      <c r="C54" s="6"/>
      <c r="D54" s="7" t="str">
        <f>IF(AND(A54="",B54="",C54=""),"",IF(OR(A54="",B54=""),"Fout: ID en TITLE zijn verplicht",IF(NOT(ISNUMBER(A54)),"Fout: ID moet een getal zijn",IF(OR(A54&lt;1,A54&lt;&gt;INT(A54)),"Fout: ID moet een positief geheel getal zijn",IF(COUNTIF($A$2:$A$200,A54)&gt;1,"Fout: ID komt dubbel voor",IF(C54="","Fout: LOCATION is leeg (gebruik bijv. Online)",IF(OR(LEN(B54)&gt;255,LEN(C54)&gt;255),"Fout: maximaal 255 tekens",IF(COUNTIF(Inschrijvingen!$B$2:$B$200,A54)=0,"Let op: nog geen inschrijvingen","OK"))))))))</f>
        <v/>
      </c>
    </row>
    <row r="55" spans="1:4" x14ac:dyDescent="0.25">
      <c r="A55" s="5"/>
      <c r="B55" s="6"/>
      <c r="C55" s="6"/>
      <c r="D55" s="7" t="str">
        <f>IF(AND(A55="",B55="",C55=""),"",IF(OR(A55="",B55=""),"Fout: ID en TITLE zijn verplicht",IF(NOT(ISNUMBER(A55)),"Fout: ID moet een getal zijn",IF(OR(A55&lt;1,A55&lt;&gt;INT(A55)),"Fout: ID moet een positief geheel getal zijn",IF(COUNTIF($A$2:$A$200,A55)&gt;1,"Fout: ID komt dubbel voor",IF(C55="","Fout: LOCATION is leeg (gebruik bijv. Online)",IF(OR(LEN(B55)&gt;255,LEN(C55)&gt;255),"Fout: maximaal 255 tekens",IF(COUNTIF(Inschrijvingen!$B$2:$B$200,A55)=0,"Let op: nog geen inschrijvingen","OK"))))))))</f>
        <v/>
      </c>
    </row>
    <row r="56" spans="1:4" x14ac:dyDescent="0.25">
      <c r="A56" s="5"/>
      <c r="B56" s="6"/>
      <c r="C56" s="6"/>
      <c r="D56" s="7" t="str">
        <f>IF(AND(A56="",B56="",C56=""),"",IF(OR(A56="",B56=""),"Fout: ID en TITLE zijn verplicht",IF(NOT(ISNUMBER(A56)),"Fout: ID moet een getal zijn",IF(OR(A56&lt;1,A56&lt;&gt;INT(A56)),"Fout: ID moet een positief geheel getal zijn",IF(COUNTIF($A$2:$A$200,A56)&gt;1,"Fout: ID komt dubbel voor",IF(C56="","Fout: LOCATION is leeg (gebruik bijv. Online)",IF(OR(LEN(B56)&gt;255,LEN(C56)&gt;255),"Fout: maximaal 255 tekens",IF(COUNTIF(Inschrijvingen!$B$2:$B$200,A56)=0,"Let op: nog geen inschrijvingen","OK"))))))))</f>
        <v/>
      </c>
    </row>
    <row r="57" spans="1:4" x14ac:dyDescent="0.25">
      <c r="A57" s="5"/>
      <c r="B57" s="6"/>
      <c r="C57" s="6"/>
      <c r="D57" s="7" t="str">
        <f>IF(AND(A57="",B57="",C57=""),"",IF(OR(A57="",B57=""),"Fout: ID en TITLE zijn verplicht",IF(NOT(ISNUMBER(A57)),"Fout: ID moet een getal zijn",IF(OR(A57&lt;1,A57&lt;&gt;INT(A57)),"Fout: ID moet een positief geheel getal zijn",IF(COUNTIF($A$2:$A$200,A57)&gt;1,"Fout: ID komt dubbel voor",IF(C57="","Fout: LOCATION is leeg (gebruik bijv. Online)",IF(OR(LEN(B57)&gt;255,LEN(C57)&gt;255),"Fout: maximaal 255 tekens",IF(COUNTIF(Inschrijvingen!$B$2:$B$200,A57)=0,"Let op: nog geen inschrijvingen","OK"))))))))</f>
        <v/>
      </c>
    </row>
    <row r="58" spans="1:4" x14ac:dyDescent="0.25">
      <c r="A58" s="5"/>
      <c r="B58" s="6"/>
      <c r="C58" s="6"/>
      <c r="D58" s="7" t="str">
        <f>IF(AND(A58="",B58="",C58=""),"",IF(OR(A58="",B58=""),"Fout: ID en TITLE zijn verplicht",IF(NOT(ISNUMBER(A58)),"Fout: ID moet een getal zijn",IF(OR(A58&lt;1,A58&lt;&gt;INT(A58)),"Fout: ID moet een positief geheel getal zijn",IF(COUNTIF($A$2:$A$200,A58)&gt;1,"Fout: ID komt dubbel voor",IF(C58="","Fout: LOCATION is leeg (gebruik bijv. Online)",IF(OR(LEN(B58)&gt;255,LEN(C58)&gt;255),"Fout: maximaal 255 tekens",IF(COUNTIF(Inschrijvingen!$B$2:$B$200,A58)=0,"Let op: nog geen inschrijvingen","OK"))))))))</f>
        <v/>
      </c>
    </row>
    <row r="59" spans="1:4" x14ac:dyDescent="0.25">
      <c r="A59" s="5"/>
      <c r="B59" s="6"/>
      <c r="C59" s="6"/>
      <c r="D59" s="7" t="str">
        <f>IF(AND(A59="",B59="",C59=""),"",IF(OR(A59="",B59=""),"Fout: ID en TITLE zijn verplicht",IF(NOT(ISNUMBER(A59)),"Fout: ID moet een getal zijn",IF(OR(A59&lt;1,A59&lt;&gt;INT(A59)),"Fout: ID moet een positief geheel getal zijn",IF(COUNTIF($A$2:$A$200,A59)&gt;1,"Fout: ID komt dubbel voor",IF(C59="","Fout: LOCATION is leeg (gebruik bijv. Online)",IF(OR(LEN(B59)&gt;255,LEN(C59)&gt;255),"Fout: maximaal 255 tekens",IF(COUNTIF(Inschrijvingen!$B$2:$B$200,A59)=0,"Let op: nog geen inschrijvingen","OK"))))))))</f>
        <v/>
      </c>
    </row>
    <row r="60" spans="1:4" x14ac:dyDescent="0.25">
      <c r="A60" s="5"/>
      <c r="B60" s="6"/>
      <c r="C60" s="6"/>
      <c r="D60" s="7" t="str">
        <f>IF(AND(A60="",B60="",C60=""),"",IF(OR(A60="",B60=""),"Fout: ID en TITLE zijn verplicht",IF(NOT(ISNUMBER(A60)),"Fout: ID moet een getal zijn",IF(OR(A60&lt;1,A60&lt;&gt;INT(A60)),"Fout: ID moet een positief geheel getal zijn",IF(COUNTIF($A$2:$A$200,A60)&gt;1,"Fout: ID komt dubbel voor",IF(C60="","Fout: LOCATION is leeg (gebruik bijv. Online)",IF(OR(LEN(B60)&gt;255,LEN(C60)&gt;255),"Fout: maximaal 255 tekens",IF(COUNTIF(Inschrijvingen!$B$2:$B$200,A60)=0,"Let op: nog geen inschrijvingen","OK"))))))))</f>
        <v/>
      </c>
    </row>
    <row r="61" spans="1:4" x14ac:dyDescent="0.25">
      <c r="A61" s="5"/>
      <c r="B61" s="6"/>
      <c r="C61" s="6"/>
      <c r="D61" s="7" t="str">
        <f>IF(AND(A61="",B61="",C61=""),"",IF(OR(A61="",B61=""),"Fout: ID en TITLE zijn verplicht",IF(NOT(ISNUMBER(A61)),"Fout: ID moet een getal zijn",IF(OR(A61&lt;1,A61&lt;&gt;INT(A61)),"Fout: ID moet een positief geheel getal zijn",IF(COUNTIF($A$2:$A$200,A61)&gt;1,"Fout: ID komt dubbel voor",IF(C61="","Fout: LOCATION is leeg (gebruik bijv. Online)",IF(OR(LEN(B61)&gt;255,LEN(C61)&gt;255),"Fout: maximaal 255 tekens",IF(COUNTIF(Inschrijvingen!$B$2:$B$200,A61)=0,"Let op: nog geen inschrijvingen","OK"))))))))</f>
        <v/>
      </c>
    </row>
    <row r="62" spans="1:4" x14ac:dyDescent="0.25">
      <c r="A62" s="5"/>
      <c r="B62" s="6"/>
      <c r="C62" s="6"/>
      <c r="D62" s="7" t="str">
        <f>IF(AND(A62="",B62="",C62=""),"",IF(OR(A62="",B62=""),"Fout: ID en TITLE zijn verplicht",IF(NOT(ISNUMBER(A62)),"Fout: ID moet een getal zijn",IF(OR(A62&lt;1,A62&lt;&gt;INT(A62)),"Fout: ID moet een positief geheel getal zijn",IF(COUNTIF($A$2:$A$200,A62)&gt;1,"Fout: ID komt dubbel voor",IF(C62="","Fout: LOCATION is leeg (gebruik bijv. Online)",IF(OR(LEN(B62)&gt;255,LEN(C62)&gt;255),"Fout: maximaal 255 tekens",IF(COUNTIF(Inschrijvingen!$B$2:$B$200,A62)=0,"Let op: nog geen inschrijvingen","OK"))))))))</f>
        <v/>
      </c>
    </row>
    <row r="63" spans="1:4" x14ac:dyDescent="0.25">
      <c r="A63" s="5"/>
      <c r="B63" s="6"/>
      <c r="C63" s="6"/>
      <c r="D63" s="7" t="str">
        <f>IF(AND(A63="",B63="",C63=""),"",IF(OR(A63="",B63=""),"Fout: ID en TITLE zijn verplicht",IF(NOT(ISNUMBER(A63)),"Fout: ID moet een getal zijn",IF(OR(A63&lt;1,A63&lt;&gt;INT(A63)),"Fout: ID moet een positief geheel getal zijn",IF(COUNTIF($A$2:$A$200,A63)&gt;1,"Fout: ID komt dubbel voor",IF(C63="","Fout: LOCATION is leeg (gebruik bijv. Online)",IF(OR(LEN(B63)&gt;255,LEN(C63)&gt;255),"Fout: maximaal 255 tekens",IF(COUNTIF(Inschrijvingen!$B$2:$B$200,A63)=0,"Let op: nog geen inschrijvingen","OK"))))))))</f>
        <v/>
      </c>
    </row>
    <row r="64" spans="1:4" x14ac:dyDescent="0.25">
      <c r="A64" s="5"/>
      <c r="B64" s="6"/>
      <c r="C64" s="6"/>
      <c r="D64" s="7" t="str">
        <f>IF(AND(A64="",B64="",C64=""),"",IF(OR(A64="",B64=""),"Fout: ID en TITLE zijn verplicht",IF(NOT(ISNUMBER(A64)),"Fout: ID moet een getal zijn",IF(OR(A64&lt;1,A64&lt;&gt;INT(A64)),"Fout: ID moet een positief geheel getal zijn",IF(COUNTIF($A$2:$A$200,A64)&gt;1,"Fout: ID komt dubbel voor",IF(C64="","Fout: LOCATION is leeg (gebruik bijv. Online)",IF(OR(LEN(B64)&gt;255,LEN(C64)&gt;255),"Fout: maximaal 255 tekens",IF(COUNTIF(Inschrijvingen!$B$2:$B$200,A64)=0,"Let op: nog geen inschrijvingen","OK"))))))))</f>
        <v/>
      </c>
    </row>
    <row r="65" spans="1:4" x14ac:dyDescent="0.25">
      <c r="A65" s="5"/>
      <c r="B65" s="6"/>
      <c r="C65" s="6"/>
      <c r="D65" s="7" t="str">
        <f>IF(AND(A65="",B65="",C65=""),"",IF(OR(A65="",B65=""),"Fout: ID en TITLE zijn verplicht",IF(NOT(ISNUMBER(A65)),"Fout: ID moet een getal zijn",IF(OR(A65&lt;1,A65&lt;&gt;INT(A65)),"Fout: ID moet een positief geheel getal zijn",IF(COUNTIF($A$2:$A$200,A65)&gt;1,"Fout: ID komt dubbel voor",IF(C65="","Fout: LOCATION is leeg (gebruik bijv. Online)",IF(OR(LEN(B65)&gt;255,LEN(C65)&gt;255),"Fout: maximaal 255 tekens",IF(COUNTIF(Inschrijvingen!$B$2:$B$200,A65)=0,"Let op: nog geen inschrijvingen","OK"))))))))</f>
        <v/>
      </c>
    </row>
    <row r="66" spans="1:4" x14ac:dyDescent="0.25">
      <c r="A66" s="5"/>
      <c r="B66" s="6"/>
      <c r="C66" s="6"/>
      <c r="D66" s="7" t="str">
        <f>IF(AND(A66="",B66="",C66=""),"",IF(OR(A66="",B66=""),"Fout: ID en TITLE zijn verplicht",IF(NOT(ISNUMBER(A66)),"Fout: ID moet een getal zijn",IF(OR(A66&lt;1,A66&lt;&gt;INT(A66)),"Fout: ID moet een positief geheel getal zijn",IF(COUNTIF($A$2:$A$200,A66)&gt;1,"Fout: ID komt dubbel voor",IF(C66="","Fout: LOCATION is leeg (gebruik bijv. Online)",IF(OR(LEN(B66)&gt;255,LEN(C66)&gt;255),"Fout: maximaal 255 tekens",IF(COUNTIF(Inschrijvingen!$B$2:$B$200,A66)=0,"Let op: nog geen inschrijvingen","OK"))))))))</f>
        <v/>
      </c>
    </row>
    <row r="67" spans="1:4" x14ac:dyDescent="0.25">
      <c r="A67" s="5"/>
      <c r="B67" s="6"/>
      <c r="C67" s="6"/>
      <c r="D67" s="7" t="str">
        <f>IF(AND(A67="",B67="",C67=""),"",IF(OR(A67="",B67=""),"Fout: ID en TITLE zijn verplicht",IF(NOT(ISNUMBER(A67)),"Fout: ID moet een getal zijn",IF(OR(A67&lt;1,A67&lt;&gt;INT(A67)),"Fout: ID moet een positief geheel getal zijn",IF(COUNTIF($A$2:$A$200,A67)&gt;1,"Fout: ID komt dubbel voor",IF(C67="","Fout: LOCATION is leeg (gebruik bijv. Online)",IF(OR(LEN(B67)&gt;255,LEN(C67)&gt;255),"Fout: maximaal 255 tekens",IF(COUNTIF(Inschrijvingen!$B$2:$B$200,A67)=0,"Let op: nog geen inschrijvingen","OK"))))))))</f>
        <v/>
      </c>
    </row>
    <row r="68" spans="1:4" x14ac:dyDescent="0.25">
      <c r="A68" s="5"/>
      <c r="B68" s="6"/>
      <c r="C68" s="6"/>
      <c r="D68" s="7" t="str">
        <f>IF(AND(A68="",B68="",C68=""),"",IF(OR(A68="",B68=""),"Fout: ID en TITLE zijn verplicht",IF(NOT(ISNUMBER(A68)),"Fout: ID moet een getal zijn",IF(OR(A68&lt;1,A68&lt;&gt;INT(A68)),"Fout: ID moet een positief geheel getal zijn",IF(COUNTIF($A$2:$A$200,A68)&gt;1,"Fout: ID komt dubbel voor",IF(C68="","Fout: LOCATION is leeg (gebruik bijv. Online)",IF(OR(LEN(B68)&gt;255,LEN(C68)&gt;255),"Fout: maximaal 255 tekens",IF(COUNTIF(Inschrijvingen!$B$2:$B$200,A68)=0,"Let op: nog geen inschrijvingen","OK"))))))))</f>
        <v/>
      </c>
    </row>
    <row r="69" spans="1:4" x14ac:dyDescent="0.25">
      <c r="A69" s="5"/>
      <c r="B69" s="6"/>
      <c r="C69" s="6"/>
      <c r="D69" s="7" t="str">
        <f>IF(AND(A69="",B69="",C69=""),"",IF(OR(A69="",B69=""),"Fout: ID en TITLE zijn verplicht",IF(NOT(ISNUMBER(A69)),"Fout: ID moet een getal zijn",IF(OR(A69&lt;1,A69&lt;&gt;INT(A69)),"Fout: ID moet een positief geheel getal zijn",IF(COUNTIF($A$2:$A$200,A69)&gt;1,"Fout: ID komt dubbel voor",IF(C69="","Fout: LOCATION is leeg (gebruik bijv. Online)",IF(OR(LEN(B69)&gt;255,LEN(C69)&gt;255),"Fout: maximaal 255 tekens",IF(COUNTIF(Inschrijvingen!$B$2:$B$200,A69)=0,"Let op: nog geen inschrijvingen","OK"))))))))</f>
        <v/>
      </c>
    </row>
    <row r="70" spans="1:4" x14ac:dyDescent="0.25">
      <c r="A70" s="5"/>
      <c r="B70" s="6"/>
      <c r="C70" s="6"/>
      <c r="D70" s="7" t="str">
        <f>IF(AND(A70="",B70="",C70=""),"",IF(OR(A70="",B70=""),"Fout: ID en TITLE zijn verplicht",IF(NOT(ISNUMBER(A70)),"Fout: ID moet een getal zijn",IF(OR(A70&lt;1,A70&lt;&gt;INT(A70)),"Fout: ID moet een positief geheel getal zijn",IF(COUNTIF($A$2:$A$200,A70)&gt;1,"Fout: ID komt dubbel voor",IF(C70="","Fout: LOCATION is leeg (gebruik bijv. Online)",IF(OR(LEN(B70)&gt;255,LEN(C70)&gt;255),"Fout: maximaal 255 tekens",IF(COUNTIF(Inschrijvingen!$B$2:$B$200,A70)=0,"Let op: nog geen inschrijvingen","OK"))))))))</f>
        <v/>
      </c>
    </row>
    <row r="71" spans="1:4" x14ac:dyDescent="0.25">
      <c r="A71" s="5"/>
      <c r="B71" s="6"/>
      <c r="C71" s="6"/>
      <c r="D71" s="7" t="str">
        <f>IF(AND(A71="",B71="",C71=""),"",IF(OR(A71="",B71=""),"Fout: ID en TITLE zijn verplicht",IF(NOT(ISNUMBER(A71)),"Fout: ID moet een getal zijn",IF(OR(A71&lt;1,A71&lt;&gt;INT(A71)),"Fout: ID moet een positief geheel getal zijn",IF(COUNTIF($A$2:$A$200,A71)&gt;1,"Fout: ID komt dubbel voor",IF(C71="","Fout: LOCATION is leeg (gebruik bijv. Online)",IF(OR(LEN(B71)&gt;255,LEN(C71)&gt;255),"Fout: maximaal 255 tekens",IF(COUNTIF(Inschrijvingen!$B$2:$B$200,A71)=0,"Let op: nog geen inschrijvingen","OK"))))))))</f>
        <v/>
      </c>
    </row>
    <row r="72" spans="1:4" x14ac:dyDescent="0.25">
      <c r="A72" s="5"/>
      <c r="B72" s="6"/>
      <c r="C72" s="6"/>
      <c r="D72" s="7" t="str">
        <f>IF(AND(A72="",B72="",C72=""),"",IF(OR(A72="",B72=""),"Fout: ID en TITLE zijn verplicht",IF(NOT(ISNUMBER(A72)),"Fout: ID moet een getal zijn",IF(OR(A72&lt;1,A72&lt;&gt;INT(A72)),"Fout: ID moet een positief geheel getal zijn",IF(COUNTIF($A$2:$A$200,A72)&gt;1,"Fout: ID komt dubbel voor",IF(C72="","Fout: LOCATION is leeg (gebruik bijv. Online)",IF(OR(LEN(B72)&gt;255,LEN(C72)&gt;255),"Fout: maximaal 255 tekens",IF(COUNTIF(Inschrijvingen!$B$2:$B$200,A72)=0,"Let op: nog geen inschrijvingen","OK"))))))))</f>
        <v/>
      </c>
    </row>
    <row r="73" spans="1:4" x14ac:dyDescent="0.25">
      <c r="A73" s="5"/>
      <c r="B73" s="6"/>
      <c r="C73" s="6"/>
      <c r="D73" s="7" t="str">
        <f>IF(AND(A73="",B73="",C73=""),"",IF(OR(A73="",B73=""),"Fout: ID en TITLE zijn verplicht",IF(NOT(ISNUMBER(A73)),"Fout: ID moet een getal zijn",IF(OR(A73&lt;1,A73&lt;&gt;INT(A73)),"Fout: ID moet een positief geheel getal zijn",IF(COUNTIF($A$2:$A$200,A73)&gt;1,"Fout: ID komt dubbel voor",IF(C73="","Fout: LOCATION is leeg (gebruik bijv. Online)",IF(OR(LEN(B73)&gt;255,LEN(C73)&gt;255),"Fout: maximaal 255 tekens",IF(COUNTIF(Inschrijvingen!$B$2:$B$200,A73)=0,"Let op: nog geen inschrijvingen","OK"))))))))</f>
        <v/>
      </c>
    </row>
    <row r="74" spans="1:4" x14ac:dyDescent="0.25">
      <c r="A74" s="5"/>
      <c r="B74" s="6"/>
      <c r="C74" s="6"/>
      <c r="D74" s="7" t="str">
        <f>IF(AND(A74="",B74="",C74=""),"",IF(OR(A74="",B74=""),"Fout: ID en TITLE zijn verplicht",IF(NOT(ISNUMBER(A74)),"Fout: ID moet een getal zijn",IF(OR(A74&lt;1,A74&lt;&gt;INT(A74)),"Fout: ID moet een positief geheel getal zijn",IF(COUNTIF($A$2:$A$200,A74)&gt;1,"Fout: ID komt dubbel voor",IF(C74="","Fout: LOCATION is leeg (gebruik bijv. Online)",IF(OR(LEN(B74)&gt;255,LEN(C74)&gt;255),"Fout: maximaal 255 tekens",IF(COUNTIF(Inschrijvingen!$B$2:$B$200,A74)=0,"Let op: nog geen inschrijvingen","OK"))))))))</f>
        <v/>
      </c>
    </row>
    <row r="75" spans="1:4" x14ac:dyDescent="0.25">
      <c r="A75" s="5"/>
      <c r="B75" s="6"/>
      <c r="C75" s="6"/>
      <c r="D75" s="7" t="str">
        <f>IF(AND(A75="",B75="",C75=""),"",IF(OR(A75="",B75=""),"Fout: ID en TITLE zijn verplicht",IF(NOT(ISNUMBER(A75)),"Fout: ID moet een getal zijn",IF(OR(A75&lt;1,A75&lt;&gt;INT(A75)),"Fout: ID moet een positief geheel getal zijn",IF(COUNTIF($A$2:$A$200,A75)&gt;1,"Fout: ID komt dubbel voor",IF(C75="","Fout: LOCATION is leeg (gebruik bijv. Online)",IF(OR(LEN(B75)&gt;255,LEN(C75)&gt;255),"Fout: maximaal 255 tekens",IF(COUNTIF(Inschrijvingen!$B$2:$B$200,A75)=0,"Let op: nog geen inschrijvingen","OK"))))))))</f>
        <v/>
      </c>
    </row>
    <row r="76" spans="1:4" x14ac:dyDescent="0.25">
      <c r="A76" s="5"/>
      <c r="B76" s="6"/>
      <c r="C76" s="6"/>
      <c r="D76" s="7" t="str">
        <f>IF(AND(A76="",B76="",C76=""),"",IF(OR(A76="",B76=""),"Fout: ID en TITLE zijn verplicht",IF(NOT(ISNUMBER(A76)),"Fout: ID moet een getal zijn",IF(OR(A76&lt;1,A76&lt;&gt;INT(A76)),"Fout: ID moet een positief geheel getal zijn",IF(COUNTIF($A$2:$A$200,A76)&gt;1,"Fout: ID komt dubbel voor",IF(C76="","Fout: LOCATION is leeg (gebruik bijv. Online)",IF(OR(LEN(B76)&gt;255,LEN(C76)&gt;255),"Fout: maximaal 255 tekens",IF(COUNTIF(Inschrijvingen!$B$2:$B$200,A76)=0,"Let op: nog geen inschrijvingen","OK"))))))))</f>
        <v/>
      </c>
    </row>
    <row r="77" spans="1:4" x14ac:dyDescent="0.25">
      <c r="A77" s="5"/>
      <c r="B77" s="6"/>
      <c r="C77" s="6"/>
      <c r="D77" s="7" t="str">
        <f>IF(AND(A77="",B77="",C77=""),"",IF(OR(A77="",B77=""),"Fout: ID en TITLE zijn verplicht",IF(NOT(ISNUMBER(A77)),"Fout: ID moet een getal zijn",IF(OR(A77&lt;1,A77&lt;&gt;INT(A77)),"Fout: ID moet een positief geheel getal zijn",IF(COUNTIF($A$2:$A$200,A77)&gt;1,"Fout: ID komt dubbel voor",IF(C77="","Fout: LOCATION is leeg (gebruik bijv. Online)",IF(OR(LEN(B77)&gt;255,LEN(C77)&gt;255),"Fout: maximaal 255 tekens",IF(COUNTIF(Inschrijvingen!$B$2:$B$200,A77)=0,"Let op: nog geen inschrijvingen","OK"))))))))</f>
        <v/>
      </c>
    </row>
    <row r="78" spans="1:4" x14ac:dyDescent="0.25">
      <c r="A78" s="5"/>
      <c r="B78" s="6"/>
      <c r="C78" s="6"/>
      <c r="D78" s="7" t="str">
        <f>IF(AND(A78="",B78="",C78=""),"",IF(OR(A78="",B78=""),"Fout: ID en TITLE zijn verplicht",IF(NOT(ISNUMBER(A78)),"Fout: ID moet een getal zijn",IF(OR(A78&lt;1,A78&lt;&gt;INT(A78)),"Fout: ID moet een positief geheel getal zijn",IF(COUNTIF($A$2:$A$200,A78)&gt;1,"Fout: ID komt dubbel voor",IF(C78="","Fout: LOCATION is leeg (gebruik bijv. Online)",IF(OR(LEN(B78)&gt;255,LEN(C78)&gt;255),"Fout: maximaal 255 tekens",IF(COUNTIF(Inschrijvingen!$B$2:$B$200,A78)=0,"Let op: nog geen inschrijvingen","OK"))))))))</f>
        <v/>
      </c>
    </row>
    <row r="79" spans="1:4" x14ac:dyDescent="0.25">
      <c r="A79" s="5"/>
      <c r="B79" s="6"/>
      <c r="C79" s="6"/>
      <c r="D79" s="7" t="str">
        <f>IF(AND(A79="",B79="",C79=""),"",IF(OR(A79="",B79=""),"Fout: ID en TITLE zijn verplicht",IF(NOT(ISNUMBER(A79)),"Fout: ID moet een getal zijn",IF(OR(A79&lt;1,A79&lt;&gt;INT(A79)),"Fout: ID moet een positief geheel getal zijn",IF(COUNTIF($A$2:$A$200,A79)&gt;1,"Fout: ID komt dubbel voor",IF(C79="","Fout: LOCATION is leeg (gebruik bijv. Online)",IF(OR(LEN(B79)&gt;255,LEN(C79)&gt;255),"Fout: maximaal 255 tekens",IF(COUNTIF(Inschrijvingen!$B$2:$B$200,A79)=0,"Let op: nog geen inschrijvingen","OK"))))))))</f>
        <v/>
      </c>
    </row>
    <row r="80" spans="1:4" x14ac:dyDescent="0.25">
      <c r="A80" s="5"/>
      <c r="B80" s="6"/>
      <c r="C80" s="6"/>
      <c r="D80" s="7" t="str">
        <f>IF(AND(A80="",B80="",C80=""),"",IF(OR(A80="",B80=""),"Fout: ID en TITLE zijn verplicht",IF(NOT(ISNUMBER(A80)),"Fout: ID moet een getal zijn",IF(OR(A80&lt;1,A80&lt;&gt;INT(A80)),"Fout: ID moet een positief geheel getal zijn",IF(COUNTIF($A$2:$A$200,A80)&gt;1,"Fout: ID komt dubbel voor",IF(C80="","Fout: LOCATION is leeg (gebruik bijv. Online)",IF(OR(LEN(B80)&gt;255,LEN(C80)&gt;255),"Fout: maximaal 255 tekens",IF(COUNTIF(Inschrijvingen!$B$2:$B$200,A80)=0,"Let op: nog geen inschrijvingen","OK"))))))))</f>
        <v/>
      </c>
    </row>
    <row r="81" spans="1:4" x14ac:dyDescent="0.25">
      <c r="A81" s="5"/>
      <c r="B81" s="6"/>
      <c r="C81" s="6"/>
      <c r="D81" s="7" t="str">
        <f>IF(AND(A81="",B81="",C81=""),"",IF(OR(A81="",B81=""),"Fout: ID en TITLE zijn verplicht",IF(NOT(ISNUMBER(A81)),"Fout: ID moet een getal zijn",IF(OR(A81&lt;1,A81&lt;&gt;INT(A81)),"Fout: ID moet een positief geheel getal zijn",IF(COUNTIF($A$2:$A$200,A81)&gt;1,"Fout: ID komt dubbel voor",IF(C81="","Fout: LOCATION is leeg (gebruik bijv. Online)",IF(OR(LEN(B81)&gt;255,LEN(C81)&gt;255),"Fout: maximaal 255 tekens",IF(COUNTIF(Inschrijvingen!$B$2:$B$200,A81)=0,"Let op: nog geen inschrijvingen","OK"))))))))</f>
        <v/>
      </c>
    </row>
    <row r="82" spans="1:4" x14ac:dyDescent="0.25">
      <c r="A82" s="5"/>
      <c r="B82" s="6"/>
      <c r="C82" s="6"/>
      <c r="D82" s="7" t="str">
        <f>IF(AND(A82="",B82="",C82=""),"",IF(OR(A82="",B82=""),"Fout: ID en TITLE zijn verplicht",IF(NOT(ISNUMBER(A82)),"Fout: ID moet een getal zijn",IF(OR(A82&lt;1,A82&lt;&gt;INT(A82)),"Fout: ID moet een positief geheel getal zijn",IF(COUNTIF($A$2:$A$200,A82)&gt;1,"Fout: ID komt dubbel voor",IF(C82="","Fout: LOCATION is leeg (gebruik bijv. Online)",IF(OR(LEN(B82)&gt;255,LEN(C82)&gt;255),"Fout: maximaal 255 tekens",IF(COUNTIF(Inschrijvingen!$B$2:$B$200,A82)=0,"Let op: nog geen inschrijvingen","OK"))))))))</f>
        <v/>
      </c>
    </row>
    <row r="83" spans="1:4" x14ac:dyDescent="0.25">
      <c r="A83" s="5"/>
      <c r="B83" s="6"/>
      <c r="C83" s="6"/>
      <c r="D83" s="7" t="str">
        <f>IF(AND(A83="",B83="",C83=""),"",IF(OR(A83="",B83=""),"Fout: ID en TITLE zijn verplicht",IF(NOT(ISNUMBER(A83)),"Fout: ID moet een getal zijn",IF(OR(A83&lt;1,A83&lt;&gt;INT(A83)),"Fout: ID moet een positief geheel getal zijn",IF(COUNTIF($A$2:$A$200,A83)&gt;1,"Fout: ID komt dubbel voor",IF(C83="","Fout: LOCATION is leeg (gebruik bijv. Online)",IF(OR(LEN(B83)&gt;255,LEN(C83)&gt;255),"Fout: maximaal 255 tekens",IF(COUNTIF(Inschrijvingen!$B$2:$B$200,A83)=0,"Let op: nog geen inschrijvingen","OK"))))))))</f>
        <v/>
      </c>
    </row>
    <row r="84" spans="1:4" x14ac:dyDescent="0.25">
      <c r="A84" s="5"/>
      <c r="B84" s="6"/>
      <c r="C84" s="6"/>
      <c r="D84" s="7" t="str">
        <f>IF(AND(A84="",B84="",C84=""),"",IF(OR(A84="",B84=""),"Fout: ID en TITLE zijn verplicht",IF(NOT(ISNUMBER(A84)),"Fout: ID moet een getal zijn",IF(OR(A84&lt;1,A84&lt;&gt;INT(A84)),"Fout: ID moet een positief geheel getal zijn",IF(COUNTIF($A$2:$A$200,A84)&gt;1,"Fout: ID komt dubbel voor",IF(C84="","Fout: LOCATION is leeg (gebruik bijv. Online)",IF(OR(LEN(B84)&gt;255,LEN(C84)&gt;255),"Fout: maximaal 255 tekens",IF(COUNTIF(Inschrijvingen!$B$2:$B$200,A84)=0,"Let op: nog geen inschrijvingen","OK"))))))))</f>
        <v/>
      </c>
    </row>
    <row r="85" spans="1:4" x14ac:dyDescent="0.25">
      <c r="A85" s="5"/>
      <c r="B85" s="6"/>
      <c r="C85" s="6"/>
      <c r="D85" s="7" t="str">
        <f>IF(AND(A85="",B85="",C85=""),"",IF(OR(A85="",B85=""),"Fout: ID en TITLE zijn verplicht",IF(NOT(ISNUMBER(A85)),"Fout: ID moet een getal zijn",IF(OR(A85&lt;1,A85&lt;&gt;INT(A85)),"Fout: ID moet een positief geheel getal zijn",IF(COUNTIF($A$2:$A$200,A85)&gt;1,"Fout: ID komt dubbel voor",IF(C85="","Fout: LOCATION is leeg (gebruik bijv. Online)",IF(OR(LEN(B85)&gt;255,LEN(C85)&gt;255),"Fout: maximaal 255 tekens",IF(COUNTIF(Inschrijvingen!$B$2:$B$200,A85)=0,"Let op: nog geen inschrijvingen","OK"))))))))</f>
        <v/>
      </c>
    </row>
    <row r="86" spans="1:4" x14ac:dyDescent="0.25">
      <c r="A86" s="5"/>
      <c r="B86" s="6"/>
      <c r="C86" s="6"/>
      <c r="D86" s="7" t="str">
        <f>IF(AND(A86="",B86="",C86=""),"",IF(OR(A86="",B86=""),"Fout: ID en TITLE zijn verplicht",IF(NOT(ISNUMBER(A86)),"Fout: ID moet een getal zijn",IF(OR(A86&lt;1,A86&lt;&gt;INT(A86)),"Fout: ID moet een positief geheel getal zijn",IF(COUNTIF($A$2:$A$200,A86)&gt;1,"Fout: ID komt dubbel voor",IF(C86="","Fout: LOCATION is leeg (gebruik bijv. Online)",IF(OR(LEN(B86)&gt;255,LEN(C86)&gt;255),"Fout: maximaal 255 tekens",IF(COUNTIF(Inschrijvingen!$B$2:$B$200,A86)=0,"Let op: nog geen inschrijvingen","OK"))))))))</f>
        <v/>
      </c>
    </row>
    <row r="87" spans="1:4" x14ac:dyDescent="0.25">
      <c r="A87" s="5"/>
      <c r="B87" s="6"/>
      <c r="C87" s="6"/>
      <c r="D87" s="7" t="str">
        <f>IF(AND(A87="",B87="",C87=""),"",IF(OR(A87="",B87=""),"Fout: ID en TITLE zijn verplicht",IF(NOT(ISNUMBER(A87)),"Fout: ID moet een getal zijn",IF(OR(A87&lt;1,A87&lt;&gt;INT(A87)),"Fout: ID moet een positief geheel getal zijn",IF(COUNTIF($A$2:$A$200,A87)&gt;1,"Fout: ID komt dubbel voor",IF(C87="","Fout: LOCATION is leeg (gebruik bijv. Online)",IF(OR(LEN(B87)&gt;255,LEN(C87)&gt;255),"Fout: maximaal 255 tekens",IF(COUNTIF(Inschrijvingen!$B$2:$B$200,A87)=0,"Let op: nog geen inschrijvingen","OK"))))))))</f>
        <v/>
      </c>
    </row>
    <row r="88" spans="1:4" x14ac:dyDescent="0.25">
      <c r="A88" s="5"/>
      <c r="B88" s="6"/>
      <c r="C88" s="6"/>
      <c r="D88" s="7" t="str">
        <f>IF(AND(A88="",B88="",C88=""),"",IF(OR(A88="",B88=""),"Fout: ID en TITLE zijn verplicht",IF(NOT(ISNUMBER(A88)),"Fout: ID moet een getal zijn",IF(OR(A88&lt;1,A88&lt;&gt;INT(A88)),"Fout: ID moet een positief geheel getal zijn",IF(COUNTIF($A$2:$A$200,A88)&gt;1,"Fout: ID komt dubbel voor",IF(C88="","Fout: LOCATION is leeg (gebruik bijv. Online)",IF(OR(LEN(B88)&gt;255,LEN(C88)&gt;255),"Fout: maximaal 255 tekens",IF(COUNTIF(Inschrijvingen!$B$2:$B$200,A88)=0,"Let op: nog geen inschrijvingen","OK"))))))))</f>
        <v/>
      </c>
    </row>
    <row r="89" spans="1:4" x14ac:dyDescent="0.25">
      <c r="A89" s="5"/>
      <c r="B89" s="6"/>
      <c r="C89" s="6"/>
      <c r="D89" s="7" t="str">
        <f>IF(AND(A89="",B89="",C89=""),"",IF(OR(A89="",B89=""),"Fout: ID en TITLE zijn verplicht",IF(NOT(ISNUMBER(A89)),"Fout: ID moet een getal zijn",IF(OR(A89&lt;1,A89&lt;&gt;INT(A89)),"Fout: ID moet een positief geheel getal zijn",IF(COUNTIF($A$2:$A$200,A89)&gt;1,"Fout: ID komt dubbel voor",IF(C89="","Fout: LOCATION is leeg (gebruik bijv. Online)",IF(OR(LEN(B89)&gt;255,LEN(C89)&gt;255),"Fout: maximaal 255 tekens",IF(COUNTIF(Inschrijvingen!$B$2:$B$200,A89)=0,"Let op: nog geen inschrijvingen","OK"))))))))</f>
        <v/>
      </c>
    </row>
    <row r="90" spans="1:4" x14ac:dyDescent="0.25">
      <c r="A90" s="5"/>
      <c r="B90" s="6"/>
      <c r="C90" s="6"/>
      <c r="D90" s="7" t="str">
        <f>IF(AND(A90="",B90="",C90=""),"",IF(OR(A90="",B90=""),"Fout: ID en TITLE zijn verplicht",IF(NOT(ISNUMBER(A90)),"Fout: ID moet een getal zijn",IF(OR(A90&lt;1,A90&lt;&gt;INT(A90)),"Fout: ID moet een positief geheel getal zijn",IF(COUNTIF($A$2:$A$200,A90)&gt;1,"Fout: ID komt dubbel voor",IF(C90="","Fout: LOCATION is leeg (gebruik bijv. Online)",IF(OR(LEN(B90)&gt;255,LEN(C90)&gt;255),"Fout: maximaal 255 tekens",IF(COUNTIF(Inschrijvingen!$B$2:$B$200,A90)=0,"Let op: nog geen inschrijvingen","OK"))))))))</f>
        <v/>
      </c>
    </row>
    <row r="91" spans="1:4" x14ac:dyDescent="0.25">
      <c r="A91" s="5"/>
      <c r="B91" s="6"/>
      <c r="C91" s="6"/>
      <c r="D91" s="7" t="str">
        <f>IF(AND(A91="",B91="",C91=""),"",IF(OR(A91="",B91=""),"Fout: ID en TITLE zijn verplicht",IF(NOT(ISNUMBER(A91)),"Fout: ID moet een getal zijn",IF(OR(A91&lt;1,A91&lt;&gt;INT(A91)),"Fout: ID moet een positief geheel getal zijn",IF(COUNTIF($A$2:$A$200,A91)&gt;1,"Fout: ID komt dubbel voor",IF(C91="","Fout: LOCATION is leeg (gebruik bijv. Online)",IF(OR(LEN(B91)&gt;255,LEN(C91)&gt;255),"Fout: maximaal 255 tekens",IF(COUNTIF(Inschrijvingen!$B$2:$B$200,A91)=0,"Let op: nog geen inschrijvingen","OK"))))))))</f>
        <v/>
      </c>
    </row>
    <row r="92" spans="1:4" x14ac:dyDescent="0.25">
      <c r="A92" s="5"/>
      <c r="B92" s="6"/>
      <c r="C92" s="6"/>
      <c r="D92" s="7" t="str">
        <f>IF(AND(A92="",B92="",C92=""),"",IF(OR(A92="",B92=""),"Fout: ID en TITLE zijn verplicht",IF(NOT(ISNUMBER(A92)),"Fout: ID moet een getal zijn",IF(OR(A92&lt;1,A92&lt;&gt;INT(A92)),"Fout: ID moet een positief geheel getal zijn",IF(COUNTIF($A$2:$A$200,A92)&gt;1,"Fout: ID komt dubbel voor",IF(C92="","Fout: LOCATION is leeg (gebruik bijv. Online)",IF(OR(LEN(B92)&gt;255,LEN(C92)&gt;255),"Fout: maximaal 255 tekens",IF(COUNTIF(Inschrijvingen!$B$2:$B$200,A92)=0,"Let op: nog geen inschrijvingen","OK"))))))))</f>
        <v/>
      </c>
    </row>
    <row r="93" spans="1:4" x14ac:dyDescent="0.25">
      <c r="A93" s="5"/>
      <c r="B93" s="6"/>
      <c r="C93" s="6"/>
      <c r="D93" s="7" t="str">
        <f>IF(AND(A93="",B93="",C93=""),"",IF(OR(A93="",B93=""),"Fout: ID en TITLE zijn verplicht",IF(NOT(ISNUMBER(A93)),"Fout: ID moet een getal zijn",IF(OR(A93&lt;1,A93&lt;&gt;INT(A93)),"Fout: ID moet een positief geheel getal zijn",IF(COUNTIF($A$2:$A$200,A93)&gt;1,"Fout: ID komt dubbel voor",IF(C93="","Fout: LOCATION is leeg (gebruik bijv. Online)",IF(OR(LEN(B93)&gt;255,LEN(C93)&gt;255),"Fout: maximaal 255 tekens",IF(COUNTIF(Inschrijvingen!$B$2:$B$200,A93)=0,"Let op: nog geen inschrijvingen","OK"))))))))</f>
        <v/>
      </c>
    </row>
    <row r="94" spans="1:4" x14ac:dyDescent="0.25">
      <c r="A94" s="5"/>
      <c r="B94" s="6"/>
      <c r="C94" s="6"/>
      <c r="D94" s="7" t="str">
        <f>IF(AND(A94="",B94="",C94=""),"",IF(OR(A94="",B94=""),"Fout: ID en TITLE zijn verplicht",IF(NOT(ISNUMBER(A94)),"Fout: ID moet een getal zijn",IF(OR(A94&lt;1,A94&lt;&gt;INT(A94)),"Fout: ID moet een positief geheel getal zijn",IF(COUNTIF($A$2:$A$200,A94)&gt;1,"Fout: ID komt dubbel voor",IF(C94="","Fout: LOCATION is leeg (gebruik bijv. Online)",IF(OR(LEN(B94)&gt;255,LEN(C94)&gt;255),"Fout: maximaal 255 tekens",IF(COUNTIF(Inschrijvingen!$B$2:$B$200,A94)=0,"Let op: nog geen inschrijvingen","OK"))))))))</f>
        <v/>
      </c>
    </row>
    <row r="95" spans="1:4" x14ac:dyDescent="0.25">
      <c r="A95" s="5"/>
      <c r="B95" s="6"/>
      <c r="C95" s="6"/>
      <c r="D95" s="7" t="str">
        <f>IF(AND(A95="",B95="",C95=""),"",IF(OR(A95="",B95=""),"Fout: ID en TITLE zijn verplicht",IF(NOT(ISNUMBER(A95)),"Fout: ID moet een getal zijn",IF(OR(A95&lt;1,A95&lt;&gt;INT(A95)),"Fout: ID moet een positief geheel getal zijn",IF(COUNTIF($A$2:$A$200,A95)&gt;1,"Fout: ID komt dubbel voor",IF(C95="","Fout: LOCATION is leeg (gebruik bijv. Online)",IF(OR(LEN(B95)&gt;255,LEN(C95)&gt;255),"Fout: maximaal 255 tekens",IF(COUNTIF(Inschrijvingen!$B$2:$B$200,A95)=0,"Let op: nog geen inschrijvingen","OK"))))))))</f>
        <v/>
      </c>
    </row>
    <row r="96" spans="1:4" x14ac:dyDescent="0.25">
      <c r="A96" s="5"/>
      <c r="B96" s="6"/>
      <c r="C96" s="6"/>
      <c r="D96" s="7" t="str">
        <f>IF(AND(A96="",B96="",C96=""),"",IF(OR(A96="",B96=""),"Fout: ID en TITLE zijn verplicht",IF(NOT(ISNUMBER(A96)),"Fout: ID moet een getal zijn",IF(OR(A96&lt;1,A96&lt;&gt;INT(A96)),"Fout: ID moet een positief geheel getal zijn",IF(COUNTIF($A$2:$A$200,A96)&gt;1,"Fout: ID komt dubbel voor",IF(C96="","Fout: LOCATION is leeg (gebruik bijv. Online)",IF(OR(LEN(B96)&gt;255,LEN(C96)&gt;255),"Fout: maximaal 255 tekens",IF(COUNTIF(Inschrijvingen!$B$2:$B$200,A96)=0,"Let op: nog geen inschrijvingen","OK"))))))))</f>
        <v/>
      </c>
    </row>
    <row r="97" spans="1:4" x14ac:dyDescent="0.25">
      <c r="A97" s="5"/>
      <c r="B97" s="6"/>
      <c r="C97" s="6"/>
      <c r="D97" s="7" t="str">
        <f>IF(AND(A97="",B97="",C97=""),"",IF(OR(A97="",B97=""),"Fout: ID en TITLE zijn verplicht",IF(NOT(ISNUMBER(A97)),"Fout: ID moet een getal zijn",IF(OR(A97&lt;1,A97&lt;&gt;INT(A97)),"Fout: ID moet een positief geheel getal zijn",IF(COUNTIF($A$2:$A$200,A97)&gt;1,"Fout: ID komt dubbel voor",IF(C97="","Fout: LOCATION is leeg (gebruik bijv. Online)",IF(OR(LEN(B97)&gt;255,LEN(C97)&gt;255),"Fout: maximaal 255 tekens",IF(COUNTIF(Inschrijvingen!$B$2:$B$200,A97)=0,"Let op: nog geen inschrijvingen","OK"))))))))</f>
        <v/>
      </c>
    </row>
    <row r="98" spans="1:4" x14ac:dyDescent="0.25">
      <c r="A98" s="5"/>
      <c r="B98" s="6"/>
      <c r="C98" s="6"/>
      <c r="D98" s="7" t="str">
        <f>IF(AND(A98="",B98="",C98=""),"",IF(OR(A98="",B98=""),"Fout: ID en TITLE zijn verplicht",IF(NOT(ISNUMBER(A98)),"Fout: ID moet een getal zijn",IF(OR(A98&lt;1,A98&lt;&gt;INT(A98)),"Fout: ID moet een positief geheel getal zijn",IF(COUNTIF($A$2:$A$200,A98)&gt;1,"Fout: ID komt dubbel voor",IF(C98="","Fout: LOCATION is leeg (gebruik bijv. Online)",IF(OR(LEN(B98)&gt;255,LEN(C98)&gt;255),"Fout: maximaal 255 tekens",IF(COUNTIF(Inschrijvingen!$B$2:$B$200,A98)=0,"Let op: nog geen inschrijvingen","OK"))))))))</f>
        <v/>
      </c>
    </row>
    <row r="99" spans="1:4" x14ac:dyDescent="0.25">
      <c r="A99" s="5"/>
      <c r="B99" s="6"/>
      <c r="C99" s="6"/>
      <c r="D99" s="7" t="str">
        <f>IF(AND(A99="",B99="",C99=""),"",IF(OR(A99="",B99=""),"Fout: ID en TITLE zijn verplicht",IF(NOT(ISNUMBER(A99)),"Fout: ID moet een getal zijn",IF(OR(A99&lt;1,A99&lt;&gt;INT(A99)),"Fout: ID moet een positief geheel getal zijn",IF(COUNTIF($A$2:$A$200,A99)&gt;1,"Fout: ID komt dubbel voor",IF(C99="","Fout: LOCATION is leeg (gebruik bijv. Online)",IF(OR(LEN(B99)&gt;255,LEN(C99)&gt;255),"Fout: maximaal 255 tekens",IF(COUNTIF(Inschrijvingen!$B$2:$B$200,A99)=0,"Let op: nog geen inschrijvingen","OK"))))))))</f>
        <v/>
      </c>
    </row>
    <row r="100" spans="1:4" x14ac:dyDescent="0.25">
      <c r="A100" s="5"/>
      <c r="B100" s="6"/>
      <c r="C100" s="6"/>
      <c r="D100" s="7" t="str">
        <f>IF(AND(A100="",B100="",C100=""),"",IF(OR(A100="",B100=""),"Fout: ID en TITLE zijn verplicht",IF(NOT(ISNUMBER(A100)),"Fout: ID moet een getal zijn",IF(OR(A100&lt;1,A100&lt;&gt;INT(A100)),"Fout: ID moet een positief geheel getal zijn",IF(COUNTIF($A$2:$A$200,A100)&gt;1,"Fout: ID komt dubbel voor",IF(C100="","Fout: LOCATION is leeg (gebruik bijv. Online)",IF(OR(LEN(B100)&gt;255,LEN(C100)&gt;255),"Fout: maximaal 255 tekens",IF(COUNTIF(Inschrijvingen!$B$2:$B$200,A100)=0,"Let op: nog geen inschrijvingen","OK"))))))))</f>
        <v/>
      </c>
    </row>
    <row r="101" spans="1:4" x14ac:dyDescent="0.25">
      <c r="A101" s="5"/>
      <c r="B101" s="6"/>
      <c r="C101" s="6"/>
      <c r="D101" s="7" t="str">
        <f>IF(AND(A101="",B101="",C101=""),"",IF(OR(A101="",B101=""),"Fout: ID en TITLE zijn verplicht",IF(NOT(ISNUMBER(A101)),"Fout: ID moet een getal zijn",IF(OR(A101&lt;1,A101&lt;&gt;INT(A101)),"Fout: ID moet een positief geheel getal zijn",IF(COUNTIF($A$2:$A$200,A101)&gt;1,"Fout: ID komt dubbel voor",IF(C101="","Fout: LOCATION is leeg (gebruik bijv. Online)",IF(OR(LEN(B101)&gt;255,LEN(C101)&gt;255),"Fout: maximaal 255 tekens",IF(COUNTIF(Inschrijvingen!$B$2:$B$200,A101)=0,"Let op: nog geen inschrijvingen","OK"))))))))</f>
        <v/>
      </c>
    </row>
    <row r="102" spans="1:4" x14ac:dyDescent="0.25">
      <c r="A102" s="5"/>
      <c r="B102" s="6"/>
      <c r="C102" s="6"/>
      <c r="D102" s="7" t="str">
        <f>IF(AND(A102="",B102="",C102=""),"",IF(OR(A102="",B102=""),"Fout: ID en TITLE zijn verplicht",IF(NOT(ISNUMBER(A102)),"Fout: ID moet een getal zijn",IF(OR(A102&lt;1,A102&lt;&gt;INT(A102)),"Fout: ID moet een positief geheel getal zijn",IF(COUNTIF($A$2:$A$200,A102)&gt;1,"Fout: ID komt dubbel voor",IF(C102="","Fout: LOCATION is leeg (gebruik bijv. Online)",IF(OR(LEN(B102)&gt;255,LEN(C102)&gt;255),"Fout: maximaal 255 tekens",IF(COUNTIF(Inschrijvingen!$B$2:$B$200,A102)=0,"Let op: nog geen inschrijvingen","OK"))))))))</f>
        <v/>
      </c>
    </row>
    <row r="103" spans="1:4" x14ac:dyDescent="0.25">
      <c r="A103" s="5"/>
      <c r="B103" s="6"/>
      <c r="C103" s="6"/>
      <c r="D103" s="7" t="str">
        <f>IF(AND(A103="",B103="",C103=""),"",IF(OR(A103="",B103=""),"Fout: ID en TITLE zijn verplicht",IF(NOT(ISNUMBER(A103)),"Fout: ID moet een getal zijn",IF(OR(A103&lt;1,A103&lt;&gt;INT(A103)),"Fout: ID moet een positief geheel getal zijn",IF(COUNTIF($A$2:$A$200,A103)&gt;1,"Fout: ID komt dubbel voor",IF(C103="","Fout: LOCATION is leeg (gebruik bijv. Online)",IF(OR(LEN(B103)&gt;255,LEN(C103)&gt;255),"Fout: maximaal 255 tekens",IF(COUNTIF(Inschrijvingen!$B$2:$B$200,A103)=0,"Let op: nog geen inschrijvingen","OK"))))))))</f>
        <v/>
      </c>
    </row>
    <row r="104" spans="1:4" x14ac:dyDescent="0.25">
      <c r="A104" s="5"/>
      <c r="B104" s="6"/>
      <c r="C104" s="6"/>
      <c r="D104" s="7" t="str">
        <f>IF(AND(A104="",B104="",C104=""),"",IF(OR(A104="",B104=""),"Fout: ID en TITLE zijn verplicht",IF(NOT(ISNUMBER(A104)),"Fout: ID moet een getal zijn",IF(OR(A104&lt;1,A104&lt;&gt;INT(A104)),"Fout: ID moet een positief geheel getal zijn",IF(COUNTIF($A$2:$A$200,A104)&gt;1,"Fout: ID komt dubbel voor",IF(C104="","Fout: LOCATION is leeg (gebruik bijv. Online)",IF(OR(LEN(B104)&gt;255,LEN(C104)&gt;255),"Fout: maximaal 255 tekens",IF(COUNTIF(Inschrijvingen!$B$2:$B$200,A104)=0,"Let op: nog geen inschrijvingen","OK"))))))))</f>
        <v/>
      </c>
    </row>
    <row r="105" spans="1:4" x14ac:dyDescent="0.25">
      <c r="A105" s="5"/>
      <c r="B105" s="6"/>
      <c r="C105" s="6"/>
      <c r="D105" s="7" t="str">
        <f>IF(AND(A105="",B105="",C105=""),"",IF(OR(A105="",B105=""),"Fout: ID en TITLE zijn verplicht",IF(NOT(ISNUMBER(A105)),"Fout: ID moet een getal zijn",IF(OR(A105&lt;1,A105&lt;&gt;INT(A105)),"Fout: ID moet een positief geheel getal zijn",IF(COUNTIF($A$2:$A$200,A105)&gt;1,"Fout: ID komt dubbel voor",IF(C105="","Fout: LOCATION is leeg (gebruik bijv. Online)",IF(OR(LEN(B105)&gt;255,LEN(C105)&gt;255),"Fout: maximaal 255 tekens",IF(COUNTIF(Inschrijvingen!$B$2:$B$200,A105)=0,"Let op: nog geen inschrijvingen","OK"))))))))</f>
        <v/>
      </c>
    </row>
    <row r="106" spans="1:4" x14ac:dyDescent="0.25">
      <c r="A106" s="5"/>
      <c r="B106" s="6"/>
      <c r="C106" s="6"/>
      <c r="D106" s="7" t="str">
        <f>IF(AND(A106="",B106="",C106=""),"",IF(OR(A106="",B106=""),"Fout: ID en TITLE zijn verplicht",IF(NOT(ISNUMBER(A106)),"Fout: ID moet een getal zijn",IF(OR(A106&lt;1,A106&lt;&gt;INT(A106)),"Fout: ID moet een positief geheel getal zijn",IF(COUNTIF($A$2:$A$200,A106)&gt;1,"Fout: ID komt dubbel voor",IF(C106="","Fout: LOCATION is leeg (gebruik bijv. Online)",IF(OR(LEN(B106)&gt;255,LEN(C106)&gt;255),"Fout: maximaal 255 tekens",IF(COUNTIF(Inschrijvingen!$B$2:$B$200,A106)=0,"Let op: nog geen inschrijvingen","OK"))))))))</f>
        <v/>
      </c>
    </row>
    <row r="107" spans="1:4" x14ac:dyDescent="0.25">
      <c r="A107" s="5"/>
      <c r="B107" s="6"/>
      <c r="C107" s="6"/>
      <c r="D107" s="7" t="str">
        <f>IF(AND(A107="",B107="",C107=""),"",IF(OR(A107="",B107=""),"Fout: ID en TITLE zijn verplicht",IF(NOT(ISNUMBER(A107)),"Fout: ID moet een getal zijn",IF(OR(A107&lt;1,A107&lt;&gt;INT(A107)),"Fout: ID moet een positief geheel getal zijn",IF(COUNTIF($A$2:$A$200,A107)&gt;1,"Fout: ID komt dubbel voor",IF(C107="","Fout: LOCATION is leeg (gebruik bijv. Online)",IF(OR(LEN(B107)&gt;255,LEN(C107)&gt;255),"Fout: maximaal 255 tekens",IF(COUNTIF(Inschrijvingen!$B$2:$B$200,A107)=0,"Let op: nog geen inschrijvingen","OK"))))))))</f>
        <v/>
      </c>
    </row>
    <row r="108" spans="1:4" x14ac:dyDescent="0.25">
      <c r="A108" s="5"/>
      <c r="B108" s="6"/>
      <c r="C108" s="6"/>
      <c r="D108" s="7" t="str">
        <f>IF(AND(A108="",B108="",C108=""),"",IF(OR(A108="",B108=""),"Fout: ID en TITLE zijn verplicht",IF(NOT(ISNUMBER(A108)),"Fout: ID moet een getal zijn",IF(OR(A108&lt;1,A108&lt;&gt;INT(A108)),"Fout: ID moet een positief geheel getal zijn",IF(COUNTIF($A$2:$A$200,A108)&gt;1,"Fout: ID komt dubbel voor",IF(C108="","Fout: LOCATION is leeg (gebruik bijv. Online)",IF(OR(LEN(B108)&gt;255,LEN(C108)&gt;255),"Fout: maximaal 255 tekens",IF(COUNTIF(Inschrijvingen!$B$2:$B$200,A108)=0,"Let op: nog geen inschrijvingen","OK"))))))))</f>
        <v/>
      </c>
    </row>
    <row r="109" spans="1:4" x14ac:dyDescent="0.25">
      <c r="A109" s="5"/>
      <c r="B109" s="6"/>
      <c r="C109" s="6"/>
      <c r="D109" s="7" t="str">
        <f>IF(AND(A109="",B109="",C109=""),"",IF(OR(A109="",B109=""),"Fout: ID en TITLE zijn verplicht",IF(NOT(ISNUMBER(A109)),"Fout: ID moet een getal zijn",IF(OR(A109&lt;1,A109&lt;&gt;INT(A109)),"Fout: ID moet een positief geheel getal zijn",IF(COUNTIF($A$2:$A$200,A109)&gt;1,"Fout: ID komt dubbel voor",IF(C109="","Fout: LOCATION is leeg (gebruik bijv. Online)",IF(OR(LEN(B109)&gt;255,LEN(C109)&gt;255),"Fout: maximaal 255 tekens",IF(COUNTIF(Inschrijvingen!$B$2:$B$200,A109)=0,"Let op: nog geen inschrijvingen","OK"))))))))</f>
        <v/>
      </c>
    </row>
    <row r="110" spans="1:4" x14ac:dyDescent="0.25">
      <c r="A110" s="5"/>
      <c r="B110" s="6"/>
      <c r="C110" s="6"/>
      <c r="D110" s="7" t="str">
        <f>IF(AND(A110="",B110="",C110=""),"",IF(OR(A110="",B110=""),"Fout: ID en TITLE zijn verplicht",IF(NOT(ISNUMBER(A110)),"Fout: ID moet een getal zijn",IF(OR(A110&lt;1,A110&lt;&gt;INT(A110)),"Fout: ID moet een positief geheel getal zijn",IF(COUNTIF($A$2:$A$200,A110)&gt;1,"Fout: ID komt dubbel voor",IF(C110="","Fout: LOCATION is leeg (gebruik bijv. Online)",IF(OR(LEN(B110)&gt;255,LEN(C110)&gt;255),"Fout: maximaal 255 tekens",IF(COUNTIF(Inschrijvingen!$B$2:$B$200,A110)=0,"Let op: nog geen inschrijvingen","OK"))))))))</f>
        <v/>
      </c>
    </row>
    <row r="111" spans="1:4" x14ac:dyDescent="0.25">
      <c r="A111" s="5"/>
      <c r="B111" s="6"/>
      <c r="C111" s="6"/>
      <c r="D111" s="7" t="str">
        <f>IF(AND(A111="",B111="",C111=""),"",IF(OR(A111="",B111=""),"Fout: ID en TITLE zijn verplicht",IF(NOT(ISNUMBER(A111)),"Fout: ID moet een getal zijn",IF(OR(A111&lt;1,A111&lt;&gt;INT(A111)),"Fout: ID moet een positief geheel getal zijn",IF(COUNTIF($A$2:$A$200,A111)&gt;1,"Fout: ID komt dubbel voor",IF(C111="","Fout: LOCATION is leeg (gebruik bijv. Online)",IF(OR(LEN(B111)&gt;255,LEN(C111)&gt;255),"Fout: maximaal 255 tekens",IF(COUNTIF(Inschrijvingen!$B$2:$B$200,A111)=0,"Let op: nog geen inschrijvingen","OK"))))))))</f>
        <v/>
      </c>
    </row>
    <row r="112" spans="1:4" x14ac:dyDescent="0.25">
      <c r="A112" s="5"/>
      <c r="B112" s="6"/>
      <c r="C112" s="6"/>
      <c r="D112" s="7" t="str">
        <f>IF(AND(A112="",B112="",C112=""),"",IF(OR(A112="",B112=""),"Fout: ID en TITLE zijn verplicht",IF(NOT(ISNUMBER(A112)),"Fout: ID moet een getal zijn",IF(OR(A112&lt;1,A112&lt;&gt;INT(A112)),"Fout: ID moet een positief geheel getal zijn",IF(COUNTIF($A$2:$A$200,A112)&gt;1,"Fout: ID komt dubbel voor",IF(C112="","Fout: LOCATION is leeg (gebruik bijv. Online)",IF(OR(LEN(B112)&gt;255,LEN(C112)&gt;255),"Fout: maximaal 255 tekens",IF(COUNTIF(Inschrijvingen!$B$2:$B$200,A112)=0,"Let op: nog geen inschrijvingen","OK"))))))))</f>
        <v/>
      </c>
    </row>
    <row r="113" spans="1:4" x14ac:dyDescent="0.25">
      <c r="A113" s="5"/>
      <c r="B113" s="6"/>
      <c r="C113" s="6"/>
      <c r="D113" s="7" t="str">
        <f>IF(AND(A113="",B113="",C113=""),"",IF(OR(A113="",B113=""),"Fout: ID en TITLE zijn verplicht",IF(NOT(ISNUMBER(A113)),"Fout: ID moet een getal zijn",IF(OR(A113&lt;1,A113&lt;&gt;INT(A113)),"Fout: ID moet een positief geheel getal zijn",IF(COUNTIF($A$2:$A$200,A113)&gt;1,"Fout: ID komt dubbel voor",IF(C113="","Fout: LOCATION is leeg (gebruik bijv. Online)",IF(OR(LEN(B113)&gt;255,LEN(C113)&gt;255),"Fout: maximaal 255 tekens",IF(COUNTIF(Inschrijvingen!$B$2:$B$200,A113)=0,"Let op: nog geen inschrijvingen","OK"))))))))</f>
        <v/>
      </c>
    </row>
    <row r="114" spans="1:4" x14ac:dyDescent="0.25">
      <c r="A114" s="5"/>
      <c r="B114" s="6"/>
      <c r="C114" s="6"/>
      <c r="D114" s="7" t="str">
        <f>IF(AND(A114="",B114="",C114=""),"",IF(OR(A114="",B114=""),"Fout: ID en TITLE zijn verplicht",IF(NOT(ISNUMBER(A114)),"Fout: ID moet een getal zijn",IF(OR(A114&lt;1,A114&lt;&gt;INT(A114)),"Fout: ID moet een positief geheel getal zijn",IF(COUNTIF($A$2:$A$200,A114)&gt;1,"Fout: ID komt dubbel voor",IF(C114="","Fout: LOCATION is leeg (gebruik bijv. Online)",IF(OR(LEN(B114)&gt;255,LEN(C114)&gt;255),"Fout: maximaal 255 tekens",IF(COUNTIF(Inschrijvingen!$B$2:$B$200,A114)=0,"Let op: nog geen inschrijvingen","OK"))))))))</f>
        <v/>
      </c>
    </row>
    <row r="115" spans="1:4" x14ac:dyDescent="0.25">
      <c r="A115" s="5"/>
      <c r="B115" s="6"/>
      <c r="C115" s="6"/>
      <c r="D115" s="7" t="str">
        <f>IF(AND(A115="",B115="",C115=""),"",IF(OR(A115="",B115=""),"Fout: ID en TITLE zijn verplicht",IF(NOT(ISNUMBER(A115)),"Fout: ID moet een getal zijn",IF(OR(A115&lt;1,A115&lt;&gt;INT(A115)),"Fout: ID moet een positief geheel getal zijn",IF(COUNTIF($A$2:$A$200,A115)&gt;1,"Fout: ID komt dubbel voor",IF(C115="","Fout: LOCATION is leeg (gebruik bijv. Online)",IF(OR(LEN(B115)&gt;255,LEN(C115)&gt;255),"Fout: maximaal 255 tekens",IF(COUNTIF(Inschrijvingen!$B$2:$B$200,A115)=0,"Let op: nog geen inschrijvingen","OK"))))))))</f>
        <v/>
      </c>
    </row>
    <row r="116" spans="1:4" x14ac:dyDescent="0.25">
      <c r="A116" s="5"/>
      <c r="B116" s="6"/>
      <c r="C116" s="6"/>
      <c r="D116" s="7" t="str">
        <f>IF(AND(A116="",B116="",C116=""),"",IF(OR(A116="",B116=""),"Fout: ID en TITLE zijn verplicht",IF(NOT(ISNUMBER(A116)),"Fout: ID moet een getal zijn",IF(OR(A116&lt;1,A116&lt;&gt;INT(A116)),"Fout: ID moet een positief geheel getal zijn",IF(COUNTIF($A$2:$A$200,A116)&gt;1,"Fout: ID komt dubbel voor",IF(C116="","Fout: LOCATION is leeg (gebruik bijv. Online)",IF(OR(LEN(B116)&gt;255,LEN(C116)&gt;255),"Fout: maximaal 255 tekens",IF(COUNTIF(Inschrijvingen!$B$2:$B$200,A116)=0,"Let op: nog geen inschrijvingen","OK"))))))))</f>
        <v/>
      </c>
    </row>
    <row r="117" spans="1:4" x14ac:dyDescent="0.25">
      <c r="A117" s="5"/>
      <c r="B117" s="6"/>
      <c r="C117" s="6"/>
      <c r="D117" s="7" t="str">
        <f>IF(AND(A117="",B117="",C117=""),"",IF(OR(A117="",B117=""),"Fout: ID en TITLE zijn verplicht",IF(NOT(ISNUMBER(A117)),"Fout: ID moet een getal zijn",IF(OR(A117&lt;1,A117&lt;&gt;INT(A117)),"Fout: ID moet een positief geheel getal zijn",IF(COUNTIF($A$2:$A$200,A117)&gt;1,"Fout: ID komt dubbel voor",IF(C117="","Fout: LOCATION is leeg (gebruik bijv. Online)",IF(OR(LEN(B117)&gt;255,LEN(C117)&gt;255),"Fout: maximaal 255 tekens",IF(COUNTIF(Inschrijvingen!$B$2:$B$200,A117)=0,"Let op: nog geen inschrijvingen","OK"))))))))</f>
        <v/>
      </c>
    </row>
    <row r="118" spans="1:4" x14ac:dyDescent="0.25">
      <c r="A118" s="5"/>
      <c r="B118" s="6"/>
      <c r="C118" s="6"/>
      <c r="D118" s="7" t="str">
        <f>IF(AND(A118="",B118="",C118=""),"",IF(OR(A118="",B118=""),"Fout: ID en TITLE zijn verplicht",IF(NOT(ISNUMBER(A118)),"Fout: ID moet een getal zijn",IF(OR(A118&lt;1,A118&lt;&gt;INT(A118)),"Fout: ID moet een positief geheel getal zijn",IF(COUNTIF($A$2:$A$200,A118)&gt;1,"Fout: ID komt dubbel voor",IF(C118="","Fout: LOCATION is leeg (gebruik bijv. Online)",IF(OR(LEN(B118)&gt;255,LEN(C118)&gt;255),"Fout: maximaal 255 tekens",IF(COUNTIF(Inschrijvingen!$B$2:$B$200,A118)=0,"Let op: nog geen inschrijvingen","OK"))))))))</f>
        <v/>
      </c>
    </row>
    <row r="119" spans="1:4" x14ac:dyDescent="0.25">
      <c r="A119" s="5"/>
      <c r="B119" s="6"/>
      <c r="C119" s="6"/>
      <c r="D119" s="7" t="str">
        <f>IF(AND(A119="",B119="",C119=""),"",IF(OR(A119="",B119=""),"Fout: ID en TITLE zijn verplicht",IF(NOT(ISNUMBER(A119)),"Fout: ID moet een getal zijn",IF(OR(A119&lt;1,A119&lt;&gt;INT(A119)),"Fout: ID moet een positief geheel getal zijn",IF(COUNTIF($A$2:$A$200,A119)&gt;1,"Fout: ID komt dubbel voor",IF(C119="","Fout: LOCATION is leeg (gebruik bijv. Online)",IF(OR(LEN(B119)&gt;255,LEN(C119)&gt;255),"Fout: maximaal 255 tekens",IF(COUNTIF(Inschrijvingen!$B$2:$B$200,A119)=0,"Let op: nog geen inschrijvingen","OK"))))))))</f>
        <v/>
      </c>
    </row>
    <row r="120" spans="1:4" x14ac:dyDescent="0.25">
      <c r="A120" s="5"/>
      <c r="B120" s="6"/>
      <c r="C120" s="6"/>
      <c r="D120" s="7" t="str">
        <f>IF(AND(A120="",B120="",C120=""),"",IF(OR(A120="",B120=""),"Fout: ID en TITLE zijn verplicht",IF(NOT(ISNUMBER(A120)),"Fout: ID moet een getal zijn",IF(OR(A120&lt;1,A120&lt;&gt;INT(A120)),"Fout: ID moet een positief geheel getal zijn",IF(COUNTIF($A$2:$A$200,A120)&gt;1,"Fout: ID komt dubbel voor",IF(C120="","Fout: LOCATION is leeg (gebruik bijv. Online)",IF(OR(LEN(B120)&gt;255,LEN(C120)&gt;255),"Fout: maximaal 255 tekens",IF(COUNTIF(Inschrijvingen!$B$2:$B$200,A120)=0,"Let op: nog geen inschrijvingen","OK"))))))))</f>
        <v/>
      </c>
    </row>
    <row r="121" spans="1:4" x14ac:dyDescent="0.25">
      <c r="A121" s="5"/>
      <c r="B121" s="6"/>
      <c r="C121" s="6"/>
      <c r="D121" s="7" t="str">
        <f>IF(AND(A121="",B121="",C121=""),"",IF(OR(A121="",B121=""),"Fout: ID en TITLE zijn verplicht",IF(NOT(ISNUMBER(A121)),"Fout: ID moet een getal zijn",IF(OR(A121&lt;1,A121&lt;&gt;INT(A121)),"Fout: ID moet een positief geheel getal zijn",IF(COUNTIF($A$2:$A$200,A121)&gt;1,"Fout: ID komt dubbel voor",IF(C121="","Fout: LOCATION is leeg (gebruik bijv. Online)",IF(OR(LEN(B121)&gt;255,LEN(C121)&gt;255),"Fout: maximaal 255 tekens",IF(COUNTIF(Inschrijvingen!$B$2:$B$200,A121)=0,"Let op: nog geen inschrijvingen","OK"))))))))</f>
        <v/>
      </c>
    </row>
    <row r="122" spans="1:4" x14ac:dyDescent="0.25">
      <c r="A122" s="5"/>
      <c r="B122" s="6"/>
      <c r="C122" s="6"/>
      <c r="D122" s="7" t="str">
        <f>IF(AND(A122="",B122="",C122=""),"",IF(OR(A122="",B122=""),"Fout: ID en TITLE zijn verplicht",IF(NOT(ISNUMBER(A122)),"Fout: ID moet een getal zijn",IF(OR(A122&lt;1,A122&lt;&gt;INT(A122)),"Fout: ID moet een positief geheel getal zijn",IF(COUNTIF($A$2:$A$200,A122)&gt;1,"Fout: ID komt dubbel voor",IF(C122="","Fout: LOCATION is leeg (gebruik bijv. Online)",IF(OR(LEN(B122)&gt;255,LEN(C122)&gt;255),"Fout: maximaal 255 tekens",IF(COUNTIF(Inschrijvingen!$B$2:$B$200,A122)=0,"Let op: nog geen inschrijvingen","OK"))))))))</f>
        <v/>
      </c>
    </row>
    <row r="123" spans="1:4" x14ac:dyDescent="0.25">
      <c r="A123" s="5"/>
      <c r="B123" s="6"/>
      <c r="C123" s="6"/>
      <c r="D123" s="7" t="str">
        <f>IF(AND(A123="",B123="",C123=""),"",IF(OR(A123="",B123=""),"Fout: ID en TITLE zijn verplicht",IF(NOT(ISNUMBER(A123)),"Fout: ID moet een getal zijn",IF(OR(A123&lt;1,A123&lt;&gt;INT(A123)),"Fout: ID moet een positief geheel getal zijn",IF(COUNTIF($A$2:$A$200,A123)&gt;1,"Fout: ID komt dubbel voor",IF(C123="","Fout: LOCATION is leeg (gebruik bijv. Online)",IF(OR(LEN(B123)&gt;255,LEN(C123)&gt;255),"Fout: maximaal 255 tekens",IF(COUNTIF(Inschrijvingen!$B$2:$B$200,A123)=0,"Let op: nog geen inschrijvingen","OK"))))))))</f>
        <v/>
      </c>
    </row>
    <row r="124" spans="1:4" x14ac:dyDescent="0.25">
      <c r="A124" s="5"/>
      <c r="B124" s="6"/>
      <c r="C124" s="6"/>
      <c r="D124" s="7" t="str">
        <f>IF(AND(A124="",B124="",C124=""),"",IF(OR(A124="",B124=""),"Fout: ID en TITLE zijn verplicht",IF(NOT(ISNUMBER(A124)),"Fout: ID moet een getal zijn",IF(OR(A124&lt;1,A124&lt;&gt;INT(A124)),"Fout: ID moet een positief geheel getal zijn",IF(COUNTIF($A$2:$A$200,A124)&gt;1,"Fout: ID komt dubbel voor",IF(C124="","Fout: LOCATION is leeg (gebruik bijv. Online)",IF(OR(LEN(B124)&gt;255,LEN(C124)&gt;255),"Fout: maximaal 255 tekens",IF(COUNTIF(Inschrijvingen!$B$2:$B$200,A124)=0,"Let op: nog geen inschrijvingen","OK"))))))))</f>
        <v/>
      </c>
    </row>
    <row r="125" spans="1:4" x14ac:dyDescent="0.25">
      <c r="A125" s="5"/>
      <c r="B125" s="6"/>
      <c r="C125" s="6"/>
      <c r="D125" s="7" t="str">
        <f>IF(AND(A125="",B125="",C125=""),"",IF(OR(A125="",B125=""),"Fout: ID en TITLE zijn verplicht",IF(NOT(ISNUMBER(A125)),"Fout: ID moet een getal zijn",IF(OR(A125&lt;1,A125&lt;&gt;INT(A125)),"Fout: ID moet een positief geheel getal zijn",IF(COUNTIF($A$2:$A$200,A125)&gt;1,"Fout: ID komt dubbel voor",IF(C125="","Fout: LOCATION is leeg (gebruik bijv. Online)",IF(OR(LEN(B125)&gt;255,LEN(C125)&gt;255),"Fout: maximaal 255 tekens",IF(COUNTIF(Inschrijvingen!$B$2:$B$200,A125)=0,"Let op: nog geen inschrijvingen","OK"))))))))</f>
        <v/>
      </c>
    </row>
    <row r="126" spans="1:4" x14ac:dyDescent="0.25">
      <c r="A126" s="5"/>
      <c r="B126" s="6"/>
      <c r="C126" s="6"/>
      <c r="D126" s="7" t="str">
        <f>IF(AND(A126="",B126="",C126=""),"",IF(OR(A126="",B126=""),"Fout: ID en TITLE zijn verplicht",IF(NOT(ISNUMBER(A126)),"Fout: ID moet een getal zijn",IF(OR(A126&lt;1,A126&lt;&gt;INT(A126)),"Fout: ID moet een positief geheel getal zijn",IF(COUNTIF($A$2:$A$200,A126)&gt;1,"Fout: ID komt dubbel voor",IF(C126="","Fout: LOCATION is leeg (gebruik bijv. Online)",IF(OR(LEN(B126)&gt;255,LEN(C126)&gt;255),"Fout: maximaal 255 tekens",IF(COUNTIF(Inschrijvingen!$B$2:$B$200,A126)=0,"Let op: nog geen inschrijvingen","OK"))))))))</f>
        <v/>
      </c>
    </row>
    <row r="127" spans="1:4" x14ac:dyDescent="0.25">
      <c r="A127" s="5"/>
      <c r="B127" s="6"/>
      <c r="C127" s="6"/>
      <c r="D127" s="7" t="str">
        <f>IF(AND(A127="",B127="",C127=""),"",IF(OR(A127="",B127=""),"Fout: ID en TITLE zijn verplicht",IF(NOT(ISNUMBER(A127)),"Fout: ID moet een getal zijn",IF(OR(A127&lt;1,A127&lt;&gt;INT(A127)),"Fout: ID moet een positief geheel getal zijn",IF(COUNTIF($A$2:$A$200,A127)&gt;1,"Fout: ID komt dubbel voor",IF(C127="","Fout: LOCATION is leeg (gebruik bijv. Online)",IF(OR(LEN(B127)&gt;255,LEN(C127)&gt;255),"Fout: maximaal 255 tekens",IF(COUNTIF(Inschrijvingen!$B$2:$B$200,A127)=0,"Let op: nog geen inschrijvingen","OK"))))))))</f>
        <v/>
      </c>
    </row>
    <row r="128" spans="1:4" x14ac:dyDescent="0.25">
      <c r="A128" s="5"/>
      <c r="B128" s="6"/>
      <c r="C128" s="6"/>
      <c r="D128" s="7" t="str">
        <f>IF(AND(A128="",B128="",C128=""),"",IF(OR(A128="",B128=""),"Fout: ID en TITLE zijn verplicht",IF(NOT(ISNUMBER(A128)),"Fout: ID moet een getal zijn",IF(OR(A128&lt;1,A128&lt;&gt;INT(A128)),"Fout: ID moet een positief geheel getal zijn",IF(COUNTIF($A$2:$A$200,A128)&gt;1,"Fout: ID komt dubbel voor",IF(C128="","Fout: LOCATION is leeg (gebruik bijv. Online)",IF(OR(LEN(B128)&gt;255,LEN(C128)&gt;255),"Fout: maximaal 255 tekens",IF(COUNTIF(Inschrijvingen!$B$2:$B$200,A128)=0,"Let op: nog geen inschrijvingen","OK"))))))))</f>
        <v/>
      </c>
    </row>
    <row r="129" spans="1:4" x14ac:dyDescent="0.25">
      <c r="A129" s="5"/>
      <c r="B129" s="6"/>
      <c r="C129" s="6"/>
      <c r="D129" s="7" t="str">
        <f>IF(AND(A129="",B129="",C129=""),"",IF(OR(A129="",B129=""),"Fout: ID en TITLE zijn verplicht",IF(NOT(ISNUMBER(A129)),"Fout: ID moet een getal zijn",IF(OR(A129&lt;1,A129&lt;&gt;INT(A129)),"Fout: ID moet een positief geheel getal zijn",IF(COUNTIF($A$2:$A$200,A129)&gt;1,"Fout: ID komt dubbel voor",IF(C129="","Fout: LOCATION is leeg (gebruik bijv. Online)",IF(OR(LEN(B129)&gt;255,LEN(C129)&gt;255),"Fout: maximaal 255 tekens",IF(COUNTIF(Inschrijvingen!$B$2:$B$200,A129)=0,"Let op: nog geen inschrijvingen","OK"))))))))</f>
        <v/>
      </c>
    </row>
    <row r="130" spans="1:4" x14ac:dyDescent="0.25">
      <c r="A130" s="5"/>
      <c r="B130" s="6"/>
      <c r="C130" s="6"/>
      <c r="D130" s="7" t="str">
        <f>IF(AND(A130="",B130="",C130=""),"",IF(OR(A130="",B130=""),"Fout: ID en TITLE zijn verplicht",IF(NOT(ISNUMBER(A130)),"Fout: ID moet een getal zijn",IF(OR(A130&lt;1,A130&lt;&gt;INT(A130)),"Fout: ID moet een positief geheel getal zijn",IF(COUNTIF($A$2:$A$200,A130)&gt;1,"Fout: ID komt dubbel voor",IF(C130="","Fout: LOCATION is leeg (gebruik bijv. Online)",IF(OR(LEN(B130)&gt;255,LEN(C130)&gt;255),"Fout: maximaal 255 tekens",IF(COUNTIF(Inschrijvingen!$B$2:$B$200,A130)=0,"Let op: nog geen inschrijvingen","OK"))))))))</f>
        <v/>
      </c>
    </row>
    <row r="131" spans="1:4" x14ac:dyDescent="0.25">
      <c r="A131" s="5"/>
      <c r="B131" s="6"/>
      <c r="C131" s="6"/>
      <c r="D131" s="7" t="str">
        <f>IF(AND(A131="",B131="",C131=""),"",IF(OR(A131="",B131=""),"Fout: ID en TITLE zijn verplicht",IF(NOT(ISNUMBER(A131)),"Fout: ID moet een getal zijn",IF(OR(A131&lt;1,A131&lt;&gt;INT(A131)),"Fout: ID moet een positief geheel getal zijn",IF(COUNTIF($A$2:$A$200,A131)&gt;1,"Fout: ID komt dubbel voor",IF(C131="","Fout: LOCATION is leeg (gebruik bijv. Online)",IF(OR(LEN(B131)&gt;255,LEN(C131)&gt;255),"Fout: maximaal 255 tekens",IF(COUNTIF(Inschrijvingen!$B$2:$B$200,A131)=0,"Let op: nog geen inschrijvingen","OK"))))))))</f>
        <v/>
      </c>
    </row>
    <row r="132" spans="1:4" x14ac:dyDescent="0.25">
      <c r="A132" s="5"/>
      <c r="B132" s="6"/>
      <c r="C132" s="6"/>
      <c r="D132" s="7" t="str">
        <f>IF(AND(A132="",B132="",C132=""),"",IF(OR(A132="",B132=""),"Fout: ID en TITLE zijn verplicht",IF(NOT(ISNUMBER(A132)),"Fout: ID moet een getal zijn",IF(OR(A132&lt;1,A132&lt;&gt;INT(A132)),"Fout: ID moet een positief geheel getal zijn",IF(COUNTIF($A$2:$A$200,A132)&gt;1,"Fout: ID komt dubbel voor",IF(C132="","Fout: LOCATION is leeg (gebruik bijv. Online)",IF(OR(LEN(B132)&gt;255,LEN(C132)&gt;255),"Fout: maximaal 255 tekens",IF(COUNTIF(Inschrijvingen!$B$2:$B$200,A132)=0,"Let op: nog geen inschrijvingen","OK"))))))))</f>
        <v/>
      </c>
    </row>
    <row r="133" spans="1:4" x14ac:dyDescent="0.25">
      <c r="A133" s="5"/>
      <c r="B133" s="6"/>
      <c r="C133" s="6"/>
      <c r="D133" s="7" t="str">
        <f>IF(AND(A133="",B133="",C133=""),"",IF(OR(A133="",B133=""),"Fout: ID en TITLE zijn verplicht",IF(NOT(ISNUMBER(A133)),"Fout: ID moet een getal zijn",IF(OR(A133&lt;1,A133&lt;&gt;INT(A133)),"Fout: ID moet een positief geheel getal zijn",IF(COUNTIF($A$2:$A$200,A133)&gt;1,"Fout: ID komt dubbel voor",IF(C133="","Fout: LOCATION is leeg (gebruik bijv. Online)",IF(OR(LEN(B133)&gt;255,LEN(C133)&gt;255),"Fout: maximaal 255 tekens",IF(COUNTIF(Inschrijvingen!$B$2:$B$200,A133)=0,"Let op: nog geen inschrijvingen","OK"))))))))</f>
        <v/>
      </c>
    </row>
    <row r="134" spans="1:4" x14ac:dyDescent="0.25">
      <c r="A134" s="5"/>
      <c r="B134" s="6"/>
      <c r="C134" s="6"/>
      <c r="D134" s="7" t="str">
        <f>IF(AND(A134="",B134="",C134=""),"",IF(OR(A134="",B134=""),"Fout: ID en TITLE zijn verplicht",IF(NOT(ISNUMBER(A134)),"Fout: ID moet een getal zijn",IF(OR(A134&lt;1,A134&lt;&gt;INT(A134)),"Fout: ID moet een positief geheel getal zijn",IF(COUNTIF($A$2:$A$200,A134)&gt;1,"Fout: ID komt dubbel voor",IF(C134="","Fout: LOCATION is leeg (gebruik bijv. Online)",IF(OR(LEN(B134)&gt;255,LEN(C134)&gt;255),"Fout: maximaal 255 tekens",IF(COUNTIF(Inschrijvingen!$B$2:$B$200,A134)=0,"Let op: nog geen inschrijvingen","OK"))))))))</f>
        <v/>
      </c>
    </row>
    <row r="135" spans="1:4" x14ac:dyDescent="0.25">
      <c r="A135" s="5"/>
      <c r="B135" s="6"/>
      <c r="C135" s="6"/>
      <c r="D135" s="7" t="str">
        <f>IF(AND(A135="",B135="",C135=""),"",IF(OR(A135="",B135=""),"Fout: ID en TITLE zijn verplicht",IF(NOT(ISNUMBER(A135)),"Fout: ID moet een getal zijn",IF(OR(A135&lt;1,A135&lt;&gt;INT(A135)),"Fout: ID moet een positief geheel getal zijn",IF(COUNTIF($A$2:$A$200,A135)&gt;1,"Fout: ID komt dubbel voor",IF(C135="","Fout: LOCATION is leeg (gebruik bijv. Online)",IF(OR(LEN(B135)&gt;255,LEN(C135)&gt;255),"Fout: maximaal 255 tekens",IF(COUNTIF(Inschrijvingen!$B$2:$B$200,A135)=0,"Let op: nog geen inschrijvingen","OK"))))))))</f>
        <v/>
      </c>
    </row>
    <row r="136" spans="1:4" x14ac:dyDescent="0.25">
      <c r="A136" s="5"/>
      <c r="B136" s="6"/>
      <c r="C136" s="6"/>
      <c r="D136" s="7" t="str">
        <f>IF(AND(A136="",B136="",C136=""),"",IF(OR(A136="",B136=""),"Fout: ID en TITLE zijn verplicht",IF(NOT(ISNUMBER(A136)),"Fout: ID moet een getal zijn",IF(OR(A136&lt;1,A136&lt;&gt;INT(A136)),"Fout: ID moet een positief geheel getal zijn",IF(COUNTIF($A$2:$A$200,A136)&gt;1,"Fout: ID komt dubbel voor",IF(C136="","Fout: LOCATION is leeg (gebruik bijv. Online)",IF(OR(LEN(B136)&gt;255,LEN(C136)&gt;255),"Fout: maximaal 255 tekens",IF(COUNTIF(Inschrijvingen!$B$2:$B$200,A136)=0,"Let op: nog geen inschrijvingen","OK"))))))))</f>
        <v/>
      </c>
    </row>
    <row r="137" spans="1:4" x14ac:dyDescent="0.25">
      <c r="A137" s="5"/>
      <c r="B137" s="6"/>
      <c r="C137" s="6"/>
      <c r="D137" s="7" t="str">
        <f>IF(AND(A137="",B137="",C137=""),"",IF(OR(A137="",B137=""),"Fout: ID en TITLE zijn verplicht",IF(NOT(ISNUMBER(A137)),"Fout: ID moet een getal zijn",IF(OR(A137&lt;1,A137&lt;&gt;INT(A137)),"Fout: ID moet een positief geheel getal zijn",IF(COUNTIF($A$2:$A$200,A137)&gt;1,"Fout: ID komt dubbel voor",IF(C137="","Fout: LOCATION is leeg (gebruik bijv. Online)",IF(OR(LEN(B137)&gt;255,LEN(C137)&gt;255),"Fout: maximaal 255 tekens",IF(COUNTIF(Inschrijvingen!$B$2:$B$200,A137)=0,"Let op: nog geen inschrijvingen","OK"))))))))</f>
        <v/>
      </c>
    </row>
    <row r="138" spans="1:4" x14ac:dyDescent="0.25">
      <c r="A138" s="5"/>
      <c r="B138" s="6"/>
      <c r="C138" s="6"/>
      <c r="D138" s="7" t="str">
        <f>IF(AND(A138="",B138="",C138=""),"",IF(OR(A138="",B138=""),"Fout: ID en TITLE zijn verplicht",IF(NOT(ISNUMBER(A138)),"Fout: ID moet een getal zijn",IF(OR(A138&lt;1,A138&lt;&gt;INT(A138)),"Fout: ID moet een positief geheel getal zijn",IF(COUNTIF($A$2:$A$200,A138)&gt;1,"Fout: ID komt dubbel voor",IF(C138="","Fout: LOCATION is leeg (gebruik bijv. Online)",IF(OR(LEN(B138)&gt;255,LEN(C138)&gt;255),"Fout: maximaal 255 tekens",IF(COUNTIF(Inschrijvingen!$B$2:$B$200,A138)=0,"Let op: nog geen inschrijvingen","OK"))))))))</f>
        <v/>
      </c>
    </row>
    <row r="139" spans="1:4" x14ac:dyDescent="0.25">
      <c r="A139" s="5"/>
      <c r="B139" s="6"/>
      <c r="C139" s="6"/>
      <c r="D139" s="7" t="str">
        <f>IF(AND(A139="",B139="",C139=""),"",IF(OR(A139="",B139=""),"Fout: ID en TITLE zijn verplicht",IF(NOT(ISNUMBER(A139)),"Fout: ID moet een getal zijn",IF(OR(A139&lt;1,A139&lt;&gt;INT(A139)),"Fout: ID moet een positief geheel getal zijn",IF(COUNTIF($A$2:$A$200,A139)&gt;1,"Fout: ID komt dubbel voor",IF(C139="","Fout: LOCATION is leeg (gebruik bijv. Online)",IF(OR(LEN(B139)&gt;255,LEN(C139)&gt;255),"Fout: maximaal 255 tekens",IF(COUNTIF(Inschrijvingen!$B$2:$B$200,A139)=0,"Let op: nog geen inschrijvingen","OK"))))))))</f>
        <v/>
      </c>
    </row>
    <row r="140" spans="1:4" x14ac:dyDescent="0.25">
      <c r="A140" s="5"/>
      <c r="B140" s="6"/>
      <c r="C140" s="6"/>
      <c r="D140" s="7" t="str">
        <f>IF(AND(A140="",B140="",C140=""),"",IF(OR(A140="",B140=""),"Fout: ID en TITLE zijn verplicht",IF(NOT(ISNUMBER(A140)),"Fout: ID moet een getal zijn",IF(OR(A140&lt;1,A140&lt;&gt;INT(A140)),"Fout: ID moet een positief geheel getal zijn",IF(COUNTIF($A$2:$A$200,A140)&gt;1,"Fout: ID komt dubbel voor",IF(C140="","Fout: LOCATION is leeg (gebruik bijv. Online)",IF(OR(LEN(B140)&gt;255,LEN(C140)&gt;255),"Fout: maximaal 255 tekens",IF(COUNTIF(Inschrijvingen!$B$2:$B$200,A140)=0,"Let op: nog geen inschrijvingen","OK"))))))))</f>
        <v/>
      </c>
    </row>
    <row r="141" spans="1:4" x14ac:dyDescent="0.25">
      <c r="A141" s="5"/>
      <c r="B141" s="6"/>
      <c r="C141" s="6"/>
      <c r="D141" s="7" t="str">
        <f>IF(AND(A141="",B141="",C141=""),"",IF(OR(A141="",B141=""),"Fout: ID en TITLE zijn verplicht",IF(NOT(ISNUMBER(A141)),"Fout: ID moet een getal zijn",IF(OR(A141&lt;1,A141&lt;&gt;INT(A141)),"Fout: ID moet een positief geheel getal zijn",IF(COUNTIF($A$2:$A$200,A141)&gt;1,"Fout: ID komt dubbel voor",IF(C141="","Fout: LOCATION is leeg (gebruik bijv. Online)",IF(OR(LEN(B141)&gt;255,LEN(C141)&gt;255),"Fout: maximaal 255 tekens",IF(COUNTIF(Inschrijvingen!$B$2:$B$200,A141)=0,"Let op: nog geen inschrijvingen","OK"))))))))</f>
        <v/>
      </c>
    </row>
    <row r="142" spans="1:4" x14ac:dyDescent="0.25">
      <c r="A142" s="5"/>
      <c r="B142" s="6"/>
      <c r="C142" s="6"/>
      <c r="D142" s="7" t="str">
        <f>IF(AND(A142="",B142="",C142=""),"",IF(OR(A142="",B142=""),"Fout: ID en TITLE zijn verplicht",IF(NOT(ISNUMBER(A142)),"Fout: ID moet een getal zijn",IF(OR(A142&lt;1,A142&lt;&gt;INT(A142)),"Fout: ID moet een positief geheel getal zijn",IF(COUNTIF($A$2:$A$200,A142)&gt;1,"Fout: ID komt dubbel voor",IF(C142="","Fout: LOCATION is leeg (gebruik bijv. Online)",IF(OR(LEN(B142)&gt;255,LEN(C142)&gt;255),"Fout: maximaal 255 tekens",IF(COUNTIF(Inschrijvingen!$B$2:$B$200,A142)=0,"Let op: nog geen inschrijvingen","OK"))))))))</f>
        <v/>
      </c>
    </row>
    <row r="143" spans="1:4" x14ac:dyDescent="0.25">
      <c r="A143" s="5"/>
      <c r="B143" s="6"/>
      <c r="C143" s="6"/>
      <c r="D143" s="7" t="str">
        <f>IF(AND(A143="",B143="",C143=""),"",IF(OR(A143="",B143=""),"Fout: ID en TITLE zijn verplicht",IF(NOT(ISNUMBER(A143)),"Fout: ID moet een getal zijn",IF(OR(A143&lt;1,A143&lt;&gt;INT(A143)),"Fout: ID moet een positief geheel getal zijn",IF(COUNTIF($A$2:$A$200,A143)&gt;1,"Fout: ID komt dubbel voor",IF(C143="","Fout: LOCATION is leeg (gebruik bijv. Online)",IF(OR(LEN(B143)&gt;255,LEN(C143)&gt;255),"Fout: maximaal 255 tekens",IF(COUNTIF(Inschrijvingen!$B$2:$B$200,A143)=0,"Let op: nog geen inschrijvingen","OK"))))))))</f>
        <v/>
      </c>
    </row>
    <row r="144" spans="1:4" x14ac:dyDescent="0.25">
      <c r="A144" s="5"/>
      <c r="B144" s="6"/>
      <c r="C144" s="6"/>
      <c r="D144" s="7" t="str">
        <f>IF(AND(A144="",B144="",C144=""),"",IF(OR(A144="",B144=""),"Fout: ID en TITLE zijn verplicht",IF(NOT(ISNUMBER(A144)),"Fout: ID moet een getal zijn",IF(OR(A144&lt;1,A144&lt;&gt;INT(A144)),"Fout: ID moet een positief geheel getal zijn",IF(COUNTIF($A$2:$A$200,A144)&gt;1,"Fout: ID komt dubbel voor",IF(C144="","Fout: LOCATION is leeg (gebruik bijv. Online)",IF(OR(LEN(B144)&gt;255,LEN(C144)&gt;255),"Fout: maximaal 255 tekens",IF(COUNTIF(Inschrijvingen!$B$2:$B$200,A144)=0,"Let op: nog geen inschrijvingen","OK"))))))))</f>
        <v/>
      </c>
    </row>
    <row r="145" spans="1:4" x14ac:dyDescent="0.25">
      <c r="A145" s="5"/>
      <c r="B145" s="6"/>
      <c r="C145" s="6"/>
      <c r="D145" s="7" t="str">
        <f>IF(AND(A145="",B145="",C145=""),"",IF(OR(A145="",B145=""),"Fout: ID en TITLE zijn verplicht",IF(NOT(ISNUMBER(A145)),"Fout: ID moet een getal zijn",IF(OR(A145&lt;1,A145&lt;&gt;INT(A145)),"Fout: ID moet een positief geheel getal zijn",IF(COUNTIF($A$2:$A$200,A145)&gt;1,"Fout: ID komt dubbel voor",IF(C145="","Fout: LOCATION is leeg (gebruik bijv. Online)",IF(OR(LEN(B145)&gt;255,LEN(C145)&gt;255),"Fout: maximaal 255 tekens",IF(COUNTIF(Inschrijvingen!$B$2:$B$200,A145)=0,"Let op: nog geen inschrijvingen","OK"))))))))</f>
        <v/>
      </c>
    </row>
    <row r="146" spans="1:4" x14ac:dyDescent="0.25">
      <c r="A146" s="5"/>
      <c r="B146" s="6"/>
      <c r="C146" s="6"/>
      <c r="D146" s="7" t="str">
        <f>IF(AND(A146="",B146="",C146=""),"",IF(OR(A146="",B146=""),"Fout: ID en TITLE zijn verplicht",IF(NOT(ISNUMBER(A146)),"Fout: ID moet een getal zijn",IF(OR(A146&lt;1,A146&lt;&gt;INT(A146)),"Fout: ID moet een positief geheel getal zijn",IF(COUNTIF($A$2:$A$200,A146)&gt;1,"Fout: ID komt dubbel voor",IF(C146="","Fout: LOCATION is leeg (gebruik bijv. Online)",IF(OR(LEN(B146)&gt;255,LEN(C146)&gt;255),"Fout: maximaal 255 tekens",IF(COUNTIF(Inschrijvingen!$B$2:$B$200,A146)=0,"Let op: nog geen inschrijvingen","OK"))))))))</f>
        <v/>
      </c>
    </row>
    <row r="147" spans="1:4" x14ac:dyDescent="0.25">
      <c r="A147" s="5"/>
      <c r="B147" s="6"/>
      <c r="C147" s="6"/>
      <c r="D147" s="7" t="str">
        <f>IF(AND(A147="",B147="",C147=""),"",IF(OR(A147="",B147=""),"Fout: ID en TITLE zijn verplicht",IF(NOT(ISNUMBER(A147)),"Fout: ID moet een getal zijn",IF(OR(A147&lt;1,A147&lt;&gt;INT(A147)),"Fout: ID moet een positief geheel getal zijn",IF(COUNTIF($A$2:$A$200,A147)&gt;1,"Fout: ID komt dubbel voor",IF(C147="","Fout: LOCATION is leeg (gebruik bijv. Online)",IF(OR(LEN(B147)&gt;255,LEN(C147)&gt;255),"Fout: maximaal 255 tekens",IF(COUNTIF(Inschrijvingen!$B$2:$B$200,A147)=0,"Let op: nog geen inschrijvingen","OK"))))))))</f>
        <v/>
      </c>
    </row>
    <row r="148" spans="1:4" x14ac:dyDescent="0.25">
      <c r="A148" s="5"/>
      <c r="B148" s="6"/>
      <c r="C148" s="6"/>
      <c r="D148" s="7" t="str">
        <f>IF(AND(A148="",B148="",C148=""),"",IF(OR(A148="",B148=""),"Fout: ID en TITLE zijn verplicht",IF(NOT(ISNUMBER(A148)),"Fout: ID moet een getal zijn",IF(OR(A148&lt;1,A148&lt;&gt;INT(A148)),"Fout: ID moet een positief geheel getal zijn",IF(COUNTIF($A$2:$A$200,A148)&gt;1,"Fout: ID komt dubbel voor",IF(C148="","Fout: LOCATION is leeg (gebruik bijv. Online)",IF(OR(LEN(B148)&gt;255,LEN(C148)&gt;255),"Fout: maximaal 255 tekens",IF(COUNTIF(Inschrijvingen!$B$2:$B$200,A148)=0,"Let op: nog geen inschrijvingen","OK"))))))))</f>
        <v/>
      </c>
    </row>
    <row r="149" spans="1:4" x14ac:dyDescent="0.25">
      <c r="A149" s="5"/>
      <c r="B149" s="6"/>
      <c r="C149" s="6"/>
      <c r="D149" s="7" t="str">
        <f>IF(AND(A149="",B149="",C149=""),"",IF(OR(A149="",B149=""),"Fout: ID en TITLE zijn verplicht",IF(NOT(ISNUMBER(A149)),"Fout: ID moet een getal zijn",IF(OR(A149&lt;1,A149&lt;&gt;INT(A149)),"Fout: ID moet een positief geheel getal zijn",IF(COUNTIF($A$2:$A$200,A149)&gt;1,"Fout: ID komt dubbel voor",IF(C149="","Fout: LOCATION is leeg (gebruik bijv. Online)",IF(OR(LEN(B149)&gt;255,LEN(C149)&gt;255),"Fout: maximaal 255 tekens",IF(COUNTIF(Inschrijvingen!$B$2:$B$200,A149)=0,"Let op: nog geen inschrijvingen","OK"))))))))</f>
        <v/>
      </c>
    </row>
    <row r="150" spans="1:4" x14ac:dyDescent="0.25">
      <c r="A150" s="5"/>
      <c r="B150" s="6"/>
      <c r="C150" s="6"/>
      <c r="D150" s="7" t="str">
        <f>IF(AND(A150="",B150="",C150=""),"",IF(OR(A150="",B150=""),"Fout: ID en TITLE zijn verplicht",IF(NOT(ISNUMBER(A150)),"Fout: ID moet een getal zijn",IF(OR(A150&lt;1,A150&lt;&gt;INT(A150)),"Fout: ID moet een positief geheel getal zijn",IF(COUNTIF($A$2:$A$200,A150)&gt;1,"Fout: ID komt dubbel voor",IF(C150="","Fout: LOCATION is leeg (gebruik bijv. Online)",IF(OR(LEN(B150)&gt;255,LEN(C150)&gt;255),"Fout: maximaal 255 tekens",IF(COUNTIF(Inschrijvingen!$B$2:$B$200,A150)=0,"Let op: nog geen inschrijvingen","OK"))))))))</f>
        <v/>
      </c>
    </row>
    <row r="151" spans="1:4" x14ac:dyDescent="0.25">
      <c r="A151" s="5"/>
      <c r="B151" s="6"/>
      <c r="C151" s="6"/>
      <c r="D151" s="7" t="str">
        <f>IF(AND(A151="",B151="",C151=""),"",IF(OR(A151="",B151=""),"Fout: ID en TITLE zijn verplicht",IF(NOT(ISNUMBER(A151)),"Fout: ID moet een getal zijn",IF(OR(A151&lt;1,A151&lt;&gt;INT(A151)),"Fout: ID moet een positief geheel getal zijn",IF(COUNTIF($A$2:$A$200,A151)&gt;1,"Fout: ID komt dubbel voor",IF(C151="","Fout: LOCATION is leeg (gebruik bijv. Online)",IF(OR(LEN(B151)&gt;255,LEN(C151)&gt;255),"Fout: maximaal 255 tekens",IF(COUNTIF(Inschrijvingen!$B$2:$B$200,A151)=0,"Let op: nog geen inschrijvingen","OK"))))))))</f>
        <v/>
      </c>
    </row>
    <row r="152" spans="1:4" x14ac:dyDescent="0.25">
      <c r="A152" s="5"/>
      <c r="B152" s="6"/>
      <c r="C152" s="6"/>
      <c r="D152" s="7" t="str">
        <f>IF(AND(A152="",B152="",C152=""),"",IF(OR(A152="",B152=""),"Fout: ID en TITLE zijn verplicht",IF(NOT(ISNUMBER(A152)),"Fout: ID moet een getal zijn",IF(OR(A152&lt;1,A152&lt;&gt;INT(A152)),"Fout: ID moet een positief geheel getal zijn",IF(COUNTIF($A$2:$A$200,A152)&gt;1,"Fout: ID komt dubbel voor",IF(C152="","Fout: LOCATION is leeg (gebruik bijv. Online)",IF(OR(LEN(B152)&gt;255,LEN(C152)&gt;255),"Fout: maximaal 255 tekens",IF(COUNTIF(Inschrijvingen!$B$2:$B$200,A152)=0,"Let op: nog geen inschrijvingen","OK"))))))))</f>
        <v/>
      </c>
    </row>
    <row r="153" spans="1:4" x14ac:dyDescent="0.25">
      <c r="A153" s="5"/>
      <c r="B153" s="6"/>
      <c r="C153" s="6"/>
      <c r="D153" s="7" t="str">
        <f>IF(AND(A153="",B153="",C153=""),"",IF(OR(A153="",B153=""),"Fout: ID en TITLE zijn verplicht",IF(NOT(ISNUMBER(A153)),"Fout: ID moet een getal zijn",IF(OR(A153&lt;1,A153&lt;&gt;INT(A153)),"Fout: ID moet een positief geheel getal zijn",IF(COUNTIF($A$2:$A$200,A153)&gt;1,"Fout: ID komt dubbel voor",IF(C153="","Fout: LOCATION is leeg (gebruik bijv. Online)",IF(OR(LEN(B153)&gt;255,LEN(C153)&gt;255),"Fout: maximaal 255 tekens",IF(COUNTIF(Inschrijvingen!$B$2:$B$200,A153)=0,"Let op: nog geen inschrijvingen","OK"))))))))</f>
        <v/>
      </c>
    </row>
    <row r="154" spans="1:4" x14ac:dyDescent="0.25">
      <c r="A154" s="5"/>
      <c r="B154" s="6"/>
      <c r="C154" s="6"/>
      <c r="D154" s="7" t="str">
        <f>IF(AND(A154="",B154="",C154=""),"",IF(OR(A154="",B154=""),"Fout: ID en TITLE zijn verplicht",IF(NOT(ISNUMBER(A154)),"Fout: ID moet een getal zijn",IF(OR(A154&lt;1,A154&lt;&gt;INT(A154)),"Fout: ID moet een positief geheel getal zijn",IF(COUNTIF($A$2:$A$200,A154)&gt;1,"Fout: ID komt dubbel voor",IF(C154="","Fout: LOCATION is leeg (gebruik bijv. Online)",IF(OR(LEN(B154)&gt;255,LEN(C154)&gt;255),"Fout: maximaal 255 tekens",IF(COUNTIF(Inschrijvingen!$B$2:$B$200,A154)=0,"Let op: nog geen inschrijvingen","OK"))))))))</f>
        <v/>
      </c>
    </row>
    <row r="155" spans="1:4" x14ac:dyDescent="0.25">
      <c r="A155" s="5"/>
      <c r="B155" s="6"/>
      <c r="C155" s="6"/>
      <c r="D155" s="7" t="str">
        <f>IF(AND(A155="",B155="",C155=""),"",IF(OR(A155="",B155=""),"Fout: ID en TITLE zijn verplicht",IF(NOT(ISNUMBER(A155)),"Fout: ID moet een getal zijn",IF(OR(A155&lt;1,A155&lt;&gt;INT(A155)),"Fout: ID moet een positief geheel getal zijn",IF(COUNTIF($A$2:$A$200,A155)&gt;1,"Fout: ID komt dubbel voor",IF(C155="","Fout: LOCATION is leeg (gebruik bijv. Online)",IF(OR(LEN(B155)&gt;255,LEN(C155)&gt;255),"Fout: maximaal 255 tekens",IF(COUNTIF(Inschrijvingen!$B$2:$B$200,A155)=0,"Let op: nog geen inschrijvingen","OK"))))))))</f>
        <v/>
      </c>
    </row>
    <row r="156" spans="1:4" x14ac:dyDescent="0.25">
      <c r="A156" s="5"/>
      <c r="B156" s="6"/>
      <c r="C156" s="6"/>
      <c r="D156" s="7" t="str">
        <f>IF(AND(A156="",B156="",C156=""),"",IF(OR(A156="",B156=""),"Fout: ID en TITLE zijn verplicht",IF(NOT(ISNUMBER(A156)),"Fout: ID moet een getal zijn",IF(OR(A156&lt;1,A156&lt;&gt;INT(A156)),"Fout: ID moet een positief geheel getal zijn",IF(COUNTIF($A$2:$A$200,A156)&gt;1,"Fout: ID komt dubbel voor",IF(C156="","Fout: LOCATION is leeg (gebruik bijv. Online)",IF(OR(LEN(B156)&gt;255,LEN(C156)&gt;255),"Fout: maximaal 255 tekens",IF(COUNTIF(Inschrijvingen!$B$2:$B$200,A156)=0,"Let op: nog geen inschrijvingen","OK"))))))))</f>
        <v/>
      </c>
    </row>
    <row r="157" spans="1:4" x14ac:dyDescent="0.25">
      <c r="A157" s="5"/>
      <c r="B157" s="6"/>
      <c r="C157" s="6"/>
      <c r="D157" s="7" t="str">
        <f>IF(AND(A157="",B157="",C157=""),"",IF(OR(A157="",B157=""),"Fout: ID en TITLE zijn verplicht",IF(NOT(ISNUMBER(A157)),"Fout: ID moet een getal zijn",IF(OR(A157&lt;1,A157&lt;&gt;INT(A157)),"Fout: ID moet een positief geheel getal zijn",IF(COUNTIF($A$2:$A$200,A157)&gt;1,"Fout: ID komt dubbel voor",IF(C157="","Fout: LOCATION is leeg (gebruik bijv. Online)",IF(OR(LEN(B157)&gt;255,LEN(C157)&gt;255),"Fout: maximaal 255 tekens",IF(COUNTIF(Inschrijvingen!$B$2:$B$200,A157)=0,"Let op: nog geen inschrijvingen","OK"))))))))</f>
        <v/>
      </c>
    </row>
    <row r="158" spans="1:4" x14ac:dyDescent="0.25">
      <c r="A158" s="5"/>
      <c r="B158" s="6"/>
      <c r="C158" s="6"/>
      <c r="D158" s="7" t="str">
        <f>IF(AND(A158="",B158="",C158=""),"",IF(OR(A158="",B158=""),"Fout: ID en TITLE zijn verplicht",IF(NOT(ISNUMBER(A158)),"Fout: ID moet een getal zijn",IF(OR(A158&lt;1,A158&lt;&gt;INT(A158)),"Fout: ID moet een positief geheel getal zijn",IF(COUNTIF($A$2:$A$200,A158)&gt;1,"Fout: ID komt dubbel voor",IF(C158="","Fout: LOCATION is leeg (gebruik bijv. Online)",IF(OR(LEN(B158)&gt;255,LEN(C158)&gt;255),"Fout: maximaal 255 tekens",IF(COUNTIF(Inschrijvingen!$B$2:$B$200,A158)=0,"Let op: nog geen inschrijvingen","OK"))))))))</f>
        <v/>
      </c>
    </row>
    <row r="159" spans="1:4" x14ac:dyDescent="0.25">
      <c r="A159" s="5"/>
      <c r="B159" s="6"/>
      <c r="C159" s="6"/>
      <c r="D159" s="7" t="str">
        <f>IF(AND(A159="",B159="",C159=""),"",IF(OR(A159="",B159=""),"Fout: ID en TITLE zijn verplicht",IF(NOT(ISNUMBER(A159)),"Fout: ID moet een getal zijn",IF(OR(A159&lt;1,A159&lt;&gt;INT(A159)),"Fout: ID moet een positief geheel getal zijn",IF(COUNTIF($A$2:$A$200,A159)&gt;1,"Fout: ID komt dubbel voor",IF(C159="","Fout: LOCATION is leeg (gebruik bijv. Online)",IF(OR(LEN(B159)&gt;255,LEN(C159)&gt;255),"Fout: maximaal 255 tekens",IF(COUNTIF(Inschrijvingen!$B$2:$B$200,A159)=0,"Let op: nog geen inschrijvingen","OK"))))))))</f>
        <v/>
      </c>
    </row>
    <row r="160" spans="1:4" x14ac:dyDescent="0.25">
      <c r="A160" s="5"/>
      <c r="B160" s="6"/>
      <c r="C160" s="6"/>
      <c r="D160" s="7" t="str">
        <f>IF(AND(A160="",B160="",C160=""),"",IF(OR(A160="",B160=""),"Fout: ID en TITLE zijn verplicht",IF(NOT(ISNUMBER(A160)),"Fout: ID moet een getal zijn",IF(OR(A160&lt;1,A160&lt;&gt;INT(A160)),"Fout: ID moet een positief geheel getal zijn",IF(COUNTIF($A$2:$A$200,A160)&gt;1,"Fout: ID komt dubbel voor",IF(C160="","Fout: LOCATION is leeg (gebruik bijv. Online)",IF(OR(LEN(B160)&gt;255,LEN(C160)&gt;255),"Fout: maximaal 255 tekens",IF(COUNTIF(Inschrijvingen!$B$2:$B$200,A160)=0,"Let op: nog geen inschrijvingen","OK"))))))))</f>
        <v/>
      </c>
    </row>
    <row r="161" spans="1:4" x14ac:dyDescent="0.25">
      <c r="A161" s="5"/>
      <c r="B161" s="6"/>
      <c r="C161" s="6"/>
      <c r="D161" s="7" t="str">
        <f>IF(AND(A161="",B161="",C161=""),"",IF(OR(A161="",B161=""),"Fout: ID en TITLE zijn verplicht",IF(NOT(ISNUMBER(A161)),"Fout: ID moet een getal zijn",IF(OR(A161&lt;1,A161&lt;&gt;INT(A161)),"Fout: ID moet een positief geheel getal zijn",IF(COUNTIF($A$2:$A$200,A161)&gt;1,"Fout: ID komt dubbel voor",IF(C161="","Fout: LOCATION is leeg (gebruik bijv. Online)",IF(OR(LEN(B161)&gt;255,LEN(C161)&gt;255),"Fout: maximaal 255 tekens",IF(COUNTIF(Inschrijvingen!$B$2:$B$200,A161)=0,"Let op: nog geen inschrijvingen","OK"))))))))</f>
        <v/>
      </c>
    </row>
    <row r="162" spans="1:4" x14ac:dyDescent="0.25">
      <c r="A162" s="5"/>
      <c r="B162" s="6"/>
      <c r="C162" s="6"/>
      <c r="D162" s="7" t="str">
        <f>IF(AND(A162="",B162="",C162=""),"",IF(OR(A162="",B162=""),"Fout: ID en TITLE zijn verplicht",IF(NOT(ISNUMBER(A162)),"Fout: ID moet een getal zijn",IF(OR(A162&lt;1,A162&lt;&gt;INT(A162)),"Fout: ID moet een positief geheel getal zijn",IF(COUNTIF($A$2:$A$200,A162)&gt;1,"Fout: ID komt dubbel voor",IF(C162="","Fout: LOCATION is leeg (gebruik bijv. Online)",IF(OR(LEN(B162)&gt;255,LEN(C162)&gt;255),"Fout: maximaal 255 tekens",IF(COUNTIF(Inschrijvingen!$B$2:$B$200,A162)=0,"Let op: nog geen inschrijvingen","OK"))))))))</f>
        <v/>
      </c>
    </row>
    <row r="163" spans="1:4" x14ac:dyDescent="0.25">
      <c r="A163" s="5"/>
      <c r="B163" s="6"/>
      <c r="C163" s="6"/>
      <c r="D163" s="7" t="str">
        <f>IF(AND(A163="",B163="",C163=""),"",IF(OR(A163="",B163=""),"Fout: ID en TITLE zijn verplicht",IF(NOT(ISNUMBER(A163)),"Fout: ID moet een getal zijn",IF(OR(A163&lt;1,A163&lt;&gt;INT(A163)),"Fout: ID moet een positief geheel getal zijn",IF(COUNTIF($A$2:$A$200,A163)&gt;1,"Fout: ID komt dubbel voor",IF(C163="","Fout: LOCATION is leeg (gebruik bijv. Online)",IF(OR(LEN(B163)&gt;255,LEN(C163)&gt;255),"Fout: maximaal 255 tekens",IF(COUNTIF(Inschrijvingen!$B$2:$B$200,A163)=0,"Let op: nog geen inschrijvingen","OK"))))))))</f>
        <v/>
      </c>
    </row>
    <row r="164" spans="1:4" x14ac:dyDescent="0.25">
      <c r="A164" s="5"/>
      <c r="B164" s="6"/>
      <c r="C164" s="6"/>
      <c r="D164" s="7" t="str">
        <f>IF(AND(A164="",B164="",C164=""),"",IF(OR(A164="",B164=""),"Fout: ID en TITLE zijn verplicht",IF(NOT(ISNUMBER(A164)),"Fout: ID moet een getal zijn",IF(OR(A164&lt;1,A164&lt;&gt;INT(A164)),"Fout: ID moet een positief geheel getal zijn",IF(COUNTIF($A$2:$A$200,A164)&gt;1,"Fout: ID komt dubbel voor",IF(C164="","Fout: LOCATION is leeg (gebruik bijv. Online)",IF(OR(LEN(B164)&gt;255,LEN(C164)&gt;255),"Fout: maximaal 255 tekens",IF(COUNTIF(Inschrijvingen!$B$2:$B$200,A164)=0,"Let op: nog geen inschrijvingen","OK"))))))))</f>
        <v/>
      </c>
    </row>
    <row r="165" spans="1:4" x14ac:dyDescent="0.25">
      <c r="A165" s="5"/>
      <c r="B165" s="6"/>
      <c r="C165" s="6"/>
      <c r="D165" s="7" t="str">
        <f>IF(AND(A165="",B165="",C165=""),"",IF(OR(A165="",B165=""),"Fout: ID en TITLE zijn verplicht",IF(NOT(ISNUMBER(A165)),"Fout: ID moet een getal zijn",IF(OR(A165&lt;1,A165&lt;&gt;INT(A165)),"Fout: ID moet een positief geheel getal zijn",IF(COUNTIF($A$2:$A$200,A165)&gt;1,"Fout: ID komt dubbel voor",IF(C165="","Fout: LOCATION is leeg (gebruik bijv. Online)",IF(OR(LEN(B165)&gt;255,LEN(C165)&gt;255),"Fout: maximaal 255 tekens",IF(COUNTIF(Inschrijvingen!$B$2:$B$200,A165)=0,"Let op: nog geen inschrijvingen","OK"))))))))</f>
        <v/>
      </c>
    </row>
    <row r="166" spans="1:4" x14ac:dyDescent="0.25">
      <c r="A166" s="5"/>
      <c r="B166" s="6"/>
      <c r="C166" s="6"/>
      <c r="D166" s="7" t="str">
        <f>IF(AND(A166="",B166="",C166=""),"",IF(OR(A166="",B166=""),"Fout: ID en TITLE zijn verplicht",IF(NOT(ISNUMBER(A166)),"Fout: ID moet een getal zijn",IF(OR(A166&lt;1,A166&lt;&gt;INT(A166)),"Fout: ID moet een positief geheel getal zijn",IF(COUNTIF($A$2:$A$200,A166)&gt;1,"Fout: ID komt dubbel voor",IF(C166="","Fout: LOCATION is leeg (gebruik bijv. Online)",IF(OR(LEN(B166)&gt;255,LEN(C166)&gt;255),"Fout: maximaal 255 tekens",IF(COUNTIF(Inschrijvingen!$B$2:$B$200,A166)=0,"Let op: nog geen inschrijvingen","OK"))))))))</f>
        <v/>
      </c>
    </row>
    <row r="167" spans="1:4" x14ac:dyDescent="0.25">
      <c r="A167" s="5"/>
      <c r="B167" s="6"/>
      <c r="C167" s="6"/>
      <c r="D167" s="7" t="str">
        <f>IF(AND(A167="",B167="",C167=""),"",IF(OR(A167="",B167=""),"Fout: ID en TITLE zijn verplicht",IF(NOT(ISNUMBER(A167)),"Fout: ID moet een getal zijn",IF(OR(A167&lt;1,A167&lt;&gt;INT(A167)),"Fout: ID moet een positief geheel getal zijn",IF(COUNTIF($A$2:$A$200,A167)&gt;1,"Fout: ID komt dubbel voor",IF(C167="","Fout: LOCATION is leeg (gebruik bijv. Online)",IF(OR(LEN(B167)&gt;255,LEN(C167)&gt;255),"Fout: maximaal 255 tekens",IF(COUNTIF(Inschrijvingen!$B$2:$B$200,A167)=0,"Let op: nog geen inschrijvingen","OK"))))))))</f>
        <v/>
      </c>
    </row>
    <row r="168" spans="1:4" x14ac:dyDescent="0.25">
      <c r="A168" s="5"/>
      <c r="B168" s="6"/>
      <c r="C168" s="6"/>
      <c r="D168" s="7" t="str">
        <f>IF(AND(A168="",B168="",C168=""),"",IF(OR(A168="",B168=""),"Fout: ID en TITLE zijn verplicht",IF(NOT(ISNUMBER(A168)),"Fout: ID moet een getal zijn",IF(OR(A168&lt;1,A168&lt;&gt;INT(A168)),"Fout: ID moet een positief geheel getal zijn",IF(COUNTIF($A$2:$A$200,A168)&gt;1,"Fout: ID komt dubbel voor",IF(C168="","Fout: LOCATION is leeg (gebruik bijv. Online)",IF(OR(LEN(B168)&gt;255,LEN(C168)&gt;255),"Fout: maximaal 255 tekens",IF(COUNTIF(Inschrijvingen!$B$2:$B$200,A168)=0,"Let op: nog geen inschrijvingen","OK"))))))))</f>
        <v/>
      </c>
    </row>
    <row r="169" spans="1:4" x14ac:dyDescent="0.25">
      <c r="A169" s="5"/>
      <c r="B169" s="6"/>
      <c r="C169" s="6"/>
      <c r="D169" s="7" t="str">
        <f>IF(AND(A169="",B169="",C169=""),"",IF(OR(A169="",B169=""),"Fout: ID en TITLE zijn verplicht",IF(NOT(ISNUMBER(A169)),"Fout: ID moet een getal zijn",IF(OR(A169&lt;1,A169&lt;&gt;INT(A169)),"Fout: ID moet een positief geheel getal zijn",IF(COUNTIF($A$2:$A$200,A169)&gt;1,"Fout: ID komt dubbel voor",IF(C169="","Fout: LOCATION is leeg (gebruik bijv. Online)",IF(OR(LEN(B169)&gt;255,LEN(C169)&gt;255),"Fout: maximaal 255 tekens",IF(COUNTIF(Inschrijvingen!$B$2:$B$200,A169)=0,"Let op: nog geen inschrijvingen","OK"))))))))</f>
        <v/>
      </c>
    </row>
    <row r="170" spans="1:4" x14ac:dyDescent="0.25">
      <c r="A170" s="5"/>
      <c r="B170" s="6"/>
      <c r="C170" s="6"/>
      <c r="D170" s="7" t="str">
        <f>IF(AND(A170="",B170="",C170=""),"",IF(OR(A170="",B170=""),"Fout: ID en TITLE zijn verplicht",IF(NOT(ISNUMBER(A170)),"Fout: ID moet een getal zijn",IF(OR(A170&lt;1,A170&lt;&gt;INT(A170)),"Fout: ID moet een positief geheel getal zijn",IF(COUNTIF($A$2:$A$200,A170)&gt;1,"Fout: ID komt dubbel voor",IF(C170="","Fout: LOCATION is leeg (gebruik bijv. Online)",IF(OR(LEN(B170)&gt;255,LEN(C170)&gt;255),"Fout: maximaal 255 tekens",IF(COUNTIF(Inschrijvingen!$B$2:$B$200,A170)=0,"Let op: nog geen inschrijvingen","OK"))))))))</f>
        <v/>
      </c>
    </row>
    <row r="171" spans="1:4" x14ac:dyDescent="0.25">
      <c r="A171" s="5"/>
      <c r="B171" s="6"/>
      <c r="C171" s="6"/>
      <c r="D171" s="7" t="str">
        <f>IF(AND(A171="",B171="",C171=""),"",IF(OR(A171="",B171=""),"Fout: ID en TITLE zijn verplicht",IF(NOT(ISNUMBER(A171)),"Fout: ID moet een getal zijn",IF(OR(A171&lt;1,A171&lt;&gt;INT(A171)),"Fout: ID moet een positief geheel getal zijn",IF(COUNTIF($A$2:$A$200,A171)&gt;1,"Fout: ID komt dubbel voor",IF(C171="","Fout: LOCATION is leeg (gebruik bijv. Online)",IF(OR(LEN(B171)&gt;255,LEN(C171)&gt;255),"Fout: maximaal 255 tekens",IF(COUNTIF(Inschrijvingen!$B$2:$B$200,A171)=0,"Let op: nog geen inschrijvingen","OK"))))))))</f>
        <v/>
      </c>
    </row>
    <row r="172" spans="1:4" x14ac:dyDescent="0.25">
      <c r="A172" s="5"/>
      <c r="B172" s="6"/>
      <c r="C172" s="6"/>
      <c r="D172" s="7" t="str">
        <f>IF(AND(A172="",B172="",C172=""),"",IF(OR(A172="",B172=""),"Fout: ID en TITLE zijn verplicht",IF(NOT(ISNUMBER(A172)),"Fout: ID moet een getal zijn",IF(OR(A172&lt;1,A172&lt;&gt;INT(A172)),"Fout: ID moet een positief geheel getal zijn",IF(COUNTIF($A$2:$A$200,A172)&gt;1,"Fout: ID komt dubbel voor",IF(C172="","Fout: LOCATION is leeg (gebruik bijv. Online)",IF(OR(LEN(B172)&gt;255,LEN(C172)&gt;255),"Fout: maximaal 255 tekens",IF(COUNTIF(Inschrijvingen!$B$2:$B$200,A172)=0,"Let op: nog geen inschrijvingen","OK"))))))))</f>
        <v/>
      </c>
    </row>
    <row r="173" spans="1:4" x14ac:dyDescent="0.25">
      <c r="A173" s="5"/>
      <c r="B173" s="6"/>
      <c r="C173" s="6"/>
      <c r="D173" s="7" t="str">
        <f>IF(AND(A173="",B173="",C173=""),"",IF(OR(A173="",B173=""),"Fout: ID en TITLE zijn verplicht",IF(NOT(ISNUMBER(A173)),"Fout: ID moet een getal zijn",IF(OR(A173&lt;1,A173&lt;&gt;INT(A173)),"Fout: ID moet een positief geheel getal zijn",IF(COUNTIF($A$2:$A$200,A173)&gt;1,"Fout: ID komt dubbel voor",IF(C173="","Fout: LOCATION is leeg (gebruik bijv. Online)",IF(OR(LEN(B173)&gt;255,LEN(C173)&gt;255),"Fout: maximaal 255 tekens",IF(COUNTIF(Inschrijvingen!$B$2:$B$200,A173)=0,"Let op: nog geen inschrijvingen","OK"))))))))</f>
        <v/>
      </c>
    </row>
    <row r="174" spans="1:4" x14ac:dyDescent="0.25">
      <c r="A174" s="5"/>
      <c r="B174" s="6"/>
      <c r="C174" s="6"/>
      <c r="D174" s="7" t="str">
        <f>IF(AND(A174="",B174="",C174=""),"",IF(OR(A174="",B174=""),"Fout: ID en TITLE zijn verplicht",IF(NOT(ISNUMBER(A174)),"Fout: ID moet een getal zijn",IF(OR(A174&lt;1,A174&lt;&gt;INT(A174)),"Fout: ID moet een positief geheel getal zijn",IF(COUNTIF($A$2:$A$200,A174)&gt;1,"Fout: ID komt dubbel voor",IF(C174="","Fout: LOCATION is leeg (gebruik bijv. Online)",IF(OR(LEN(B174)&gt;255,LEN(C174)&gt;255),"Fout: maximaal 255 tekens",IF(COUNTIF(Inschrijvingen!$B$2:$B$200,A174)=0,"Let op: nog geen inschrijvingen","OK"))))))))</f>
        <v/>
      </c>
    </row>
    <row r="175" spans="1:4" x14ac:dyDescent="0.25">
      <c r="A175" s="5"/>
      <c r="B175" s="6"/>
      <c r="C175" s="6"/>
      <c r="D175" s="7" t="str">
        <f>IF(AND(A175="",B175="",C175=""),"",IF(OR(A175="",B175=""),"Fout: ID en TITLE zijn verplicht",IF(NOT(ISNUMBER(A175)),"Fout: ID moet een getal zijn",IF(OR(A175&lt;1,A175&lt;&gt;INT(A175)),"Fout: ID moet een positief geheel getal zijn",IF(COUNTIF($A$2:$A$200,A175)&gt;1,"Fout: ID komt dubbel voor",IF(C175="","Fout: LOCATION is leeg (gebruik bijv. Online)",IF(OR(LEN(B175)&gt;255,LEN(C175)&gt;255),"Fout: maximaal 255 tekens",IF(COUNTIF(Inschrijvingen!$B$2:$B$200,A175)=0,"Let op: nog geen inschrijvingen","OK"))))))))</f>
        <v/>
      </c>
    </row>
    <row r="176" spans="1:4" x14ac:dyDescent="0.25">
      <c r="A176" s="5"/>
      <c r="B176" s="6"/>
      <c r="C176" s="6"/>
      <c r="D176" s="7" t="str">
        <f>IF(AND(A176="",B176="",C176=""),"",IF(OR(A176="",B176=""),"Fout: ID en TITLE zijn verplicht",IF(NOT(ISNUMBER(A176)),"Fout: ID moet een getal zijn",IF(OR(A176&lt;1,A176&lt;&gt;INT(A176)),"Fout: ID moet een positief geheel getal zijn",IF(COUNTIF($A$2:$A$200,A176)&gt;1,"Fout: ID komt dubbel voor",IF(C176="","Fout: LOCATION is leeg (gebruik bijv. Online)",IF(OR(LEN(B176)&gt;255,LEN(C176)&gt;255),"Fout: maximaal 255 tekens",IF(COUNTIF(Inschrijvingen!$B$2:$B$200,A176)=0,"Let op: nog geen inschrijvingen","OK"))))))))</f>
        <v/>
      </c>
    </row>
    <row r="177" spans="1:4" x14ac:dyDescent="0.25">
      <c r="A177" s="5"/>
      <c r="B177" s="6"/>
      <c r="C177" s="6"/>
      <c r="D177" s="7" t="str">
        <f>IF(AND(A177="",B177="",C177=""),"",IF(OR(A177="",B177=""),"Fout: ID en TITLE zijn verplicht",IF(NOT(ISNUMBER(A177)),"Fout: ID moet een getal zijn",IF(OR(A177&lt;1,A177&lt;&gt;INT(A177)),"Fout: ID moet een positief geheel getal zijn",IF(COUNTIF($A$2:$A$200,A177)&gt;1,"Fout: ID komt dubbel voor",IF(C177="","Fout: LOCATION is leeg (gebruik bijv. Online)",IF(OR(LEN(B177)&gt;255,LEN(C177)&gt;255),"Fout: maximaal 255 tekens",IF(COUNTIF(Inschrijvingen!$B$2:$B$200,A177)=0,"Let op: nog geen inschrijvingen","OK"))))))))</f>
        <v/>
      </c>
    </row>
    <row r="178" spans="1:4" x14ac:dyDescent="0.25">
      <c r="A178" s="5"/>
      <c r="B178" s="6"/>
      <c r="C178" s="6"/>
      <c r="D178" s="7" t="str">
        <f>IF(AND(A178="",B178="",C178=""),"",IF(OR(A178="",B178=""),"Fout: ID en TITLE zijn verplicht",IF(NOT(ISNUMBER(A178)),"Fout: ID moet een getal zijn",IF(OR(A178&lt;1,A178&lt;&gt;INT(A178)),"Fout: ID moet een positief geheel getal zijn",IF(COUNTIF($A$2:$A$200,A178)&gt;1,"Fout: ID komt dubbel voor",IF(C178="","Fout: LOCATION is leeg (gebruik bijv. Online)",IF(OR(LEN(B178)&gt;255,LEN(C178)&gt;255),"Fout: maximaal 255 tekens",IF(COUNTIF(Inschrijvingen!$B$2:$B$200,A178)=0,"Let op: nog geen inschrijvingen","OK"))))))))</f>
        <v/>
      </c>
    </row>
    <row r="179" spans="1:4" x14ac:dyDescent="0.25">
      <c r="A179" s="5"/>
      <c r="B179" s="6"/>
      <c r="C179" s="6"/>
      <c r="D179" s="7" t="str">
        <f>IF(AND(A179="",B179="",C179=""),"",IF(OR(A179="",B179=""),"Fout: ID en TITLE zijn verplicht",IF(NOT(ISNUMBER(A179)),"Fout: ID moet een getal zijn",IF(OR(A179&lt;1,A179&lt;&gt;INT(A179)),"Fout: ID moet een positief geheel getal zijn",IF(COUNTIF($A$2:$A$200,A179)&gt;1,"Fout: ID komt dubbel voor",IF(C179="","Fout: LOCATION is leeg (gebruik bijv. Online)",IF(OR(LEN(B179)&gt;255,LEN(C179)&gt;255),"Fout: maximaal 255 tekens",IF(COUNTIF(Inschrijvingen!$B$2:$B$200,A179)=0,"Let op: nog geen inschrijvingen","OK"))))))))</f>
        <v/>
      </c>
    </row>
    <row r="180" spans="1:4" x14ac:dyDescent="0.25">
      <c r="A180" s="5"/>
      <c r="B180" s="6"/>
      <c r="C180" s="6"/>
      <c r="D180" s="7" t="str">
        <f>IF(AND(A180="",B180="",C180=""),"",IF(OR(A180="",B180=""),"Fout: ID en TITLE zijn verplicht",IF(NOT(ISNUMBER(A180)),"Fout: ID moet een getal zijn",IF(OR(A180&lt;1,A180&lt;&gt;INT(A180)),"Fout: ID moet een positief geheel getal zijn",IF(COUNTIF($A$2:$A$200,A180)&gt;1,"Fout: ID komt dubbel voor",IF(C180="","Fout: LOCATION is leeg (gebruik bijv. Online)",IF(OR(LEN(B180)&gt;255,LEN(C180)&gt;255),"Fout: maximaal 255 tekens",IF(COUNTIF(Inschrijvingen!$B$2:$B$200,A180)=0,"Let op: nog geen inschrijvingen","OK"))))))))</f>
        <v/>
      </c>
    </row>
    <row r="181" spans="1:4" x14ac:dyDescent="0.25">
      <c r="A181" s="5"/>
      <c r="B181" s="6"/>
      <c r="C181" s="6"/>
      <c r="D181" s="7" t="str">
        <f>IF(AND(A181="",B181="",C181=""),"",IF(OR(A181="",B181=""),"Fout: ID en TITLE zijn verplicht",IF(NOT(ISNUMBER(A181)),"Fout: ID moet een getal zijn",IF(OR(A181&lt;1,A181&lt;&gt;INT(A181)),"Fout: ID moet een positief geheel getal zijn",IF(COUNTIF($A$2:$A$200,A181)&gt;1,"Fout: ID komt dubbel voor",IF(C181="","Fout: LOCATION is leeg (gebruik bijv. Online)",IF(OR(LEN(B181)&gt;255,LEN(C181)&gt;255),"Fout: maximaal 255 tekens",IF(COUNTIF(Inschrijvingen!$B$2:$B$200,A181)=0,"Let op: nog geen inschrijvingen","OK"))))))))</f>
        <v/>
      </c>
    </row>
    <row r="182" spans="1:4" x14ac:dyDescent="0.25">
      <c r="A182" s="5"/>
      <c r="B182" s="6"/>
      <c r="C182" s="6"/>
      <c r="D182" s="7" t="str">
        <f>IF(AND(A182="",B182="",C182=""),"",IF(OR(A182="",B182=""),"Fout: ID en TITLE zijn verplicht",IF(NOT(ISNUMBER(A182)),"Fout: ID moet een getal zijn",IF(OR(A182&lt;1,A182&lt;&gt;INT(A182)),"Fout: ID moet een positief geheel getal zijn",IF(COUNTIF($A$2:$A$200,A182)&gt;1,"Fout: ID komt dubbel voor",IF(C182="","Fout: LOCATION is leeg (gebruik bijv. Online)",IF(OR(LEN(B182)&gt;255,LEN(C182)&gt;255),"Fout: maximaal 255 tekens",IF(COUNTIF(Inschrijvingen!$B$2:$B$200,A182)=0,"Let op: nog geen inschrijvingen","OK"))))))))</f>
        <v/>
      </c>
    </row>
    <row r="183" spans="1:4" x14ac:dyDescent="0.25">
      <c r="A183" s="5"/>
      <c r="B183" s="6"/>
      <c r="C183" s="6"/>
      <c r="D183" s="7" t="str">
        <f>IF(AND(A183="",B183="",C183=""),"",IF(OR(A183="",B183=""),"Fout: ID en TITLE zijn verplicht",IF(NOT(ISNUMBER(A183)),"Fout: ID moet een getal zijn",IF(OR(A183&lt;1,A183&lt;&gt;INT(A183)),"Fout: ID moet een positief geheel getal zijn",IF(COUNTIF($A$2:$A$200,A183)&gt;1,"Fout: ID komt dubbel voor",IF(C183="","Fout: LOCATION is leeg (gebruik bijv. Online)",IF(OR(LEN(B183)&gt;255,LEN(C183)&gt;255),"Fout: maximaal 255 tekens",IF(COUNTIF(Inschrijvingen!$B$2:$B$200,A183)=0,"Let op: nog geen inschrijvingen","OK"))))))))</f>
        <v/>
      </c>
    </row>
    <row r="184" spans="1:4" x14ac:dyDescent="0.25">
      <c r="A184" s="5"/>
      <c r="B184" s="6"/>
      <c r="C184" s="6"/>
      <c r="D184" s="7" t="str">
        <f>IF(AND(A184="",B184="",C184=""),"",IF(OR(A184="",B184=""),"Fout: ID en TITLE zijn verplicht",IF(NOT(ISNUMBER(A184)),"Fout: ID moet een getal zijn",IF(OR(A184&lt;1,A184&lt;&gt;INT(A184)),"Fout: ID moet een positief geheel getal zijn",IF(COUNTIF($A$2:$A$200,A184)&gt;1,"Fout: ID komt dubbel voor",IF(C184="","Fout: LOCATION is leeg (gebruik bijv. Online)",IF(OR(LEN(B184)&gt;255,LEN(C184)&gt;255),"Fout: maximaal 255 tekens",IF(COUNTIF(Inschrijvingen!$B$2:$B$200,A184)=0,"Let op: nog geen inschrijvingen","OK"))))))))</f>
        <v/>
      </c>
    </row>
    <row r="185" spans="1:4" x14ac:dyDescent="0.25">
      <c r="A185" s="5"/>
      <c r="B185" s="6"/>
      <c r="C185" s="6"/>
      <c r="D185" s="7" t="str">
        <f>IF(AND(A185="",B185="",C185=""),"",IF(OR(A185="",B185=""),"Fout: ID en TITLE zijn verplicht",IF(NOT(ISNUMBER(A185)),"Fout: ID moet een getal zijn",IF(OR(A185&lt;1,A185&lt;&gt;INT(A185)),"Fout: ID moet een positief geheel getal zijn",IF(COUNTIF($A$2:$A$200,A185)&gt;1,"Fout: ID komt dubbel voor",IF(C185="","Fout: LOCATION is leeg (gebruik bijv. Online)",IF(OR(LEN(B185)&gt;255,LEN(C185)&gt;255),"Fout: maximaal 255 tekens",IF(COUNTIF(Inschrijvingen!$B$2:$B$200,A185)=0,"Let op: nog geen inschrijvingen","OK"))))))))</f>
        <v/>
      </c>
    </row>
    <row r="186" spans="1:4" x14ac:dyDescent="0.25">
      <c r="A186" s="5"/>
      <c r="B186" s="6"/>
      <c r="C186" s="6"/>
      <c r="D186" s="7" t="str">
        <f>IF(AND(A186="",B186="",C186=""),"",IF(OR(A186="",B186=""),"Fout: ID en TITLE zijn verplicht",IF(NOT(ISNUMBER(A186)),"Fout: ID moet een getal zijn",IF(OR(A186&lt;1,A186&lt;&gt;INT(A186)),"Fout: ID moet een positief geheel getal zijn",IF(COUNTIF($A$2:$A$200,A186)&gt;1,"Fout: ID komt dubbel voor",IF(C186="","Fout: LOCATION is leeg (gebruik bijv. Online)",IF(OR(LEN(B186)&gt;255,LEN(C186)&gt;255),"Fout: maximaal 255 tekens",IF(COUNTIF(Inschrijvingen!$B$2:$B$200,A186)=0,"Let op: nog geen inschrijvingen","OK"))))))))</f>
        <v/>
      </c>
    </row>
    <row r="187" spans="1:4" x14ac:dyDescent="0.25">
      <c r="A187" s="5"/>
      <c r="B187" s="6"/>
      <c r="C187" s="6"/>
      <c r="D187" s="7" t="str">
        <f>IF(AND(A187="",B187="",C187=""),"",IF(OR(A187="",B187=""),"Fout: ID en TITLE zijn verplicht",IF(NOT(ISNUMBER(A187)),"Fout: ID moet een getal zijn",IF(OR(A187&lt;1,A187&lt;&gt;INT(A187)),"Fout: ID moet een positief geheel getal zijn",IF(COUNTIF($A$2:$A$200,A187)&gt;1,"Fout: ID komt dubbel voor",IF(C187="","Fout: LOCATION is leeg (gebruik bijv. Online)",IF(OR(LEN(B187)&gt;255,LEN(C187)&gt;255),"Fout: maximaal 255 tekens",IF(COUNTIF(Inschrijvingen!$B$2:$B$200,A187)=0,"Let op: nog geen inschrijvingen","OK"))))))))</f>
        <v/>
      </c>
    </row>
    <row r="188" spans="1:4" x14ac:dyDescent="0.25">
      <c r="A188" s="5"/>
      <c r="B188" s="6"/>
      <c r="C188" s="6"/>
      <c r="D188" s="7" t="str">
        <f>IF(AND(A188="",B188="",C188=""),"",IF(OR(A188="",B188=""),"Fout: ID en TITLE zijn verplicht",IF(NOT(ISNUMBER(A188)),"Fout: ID moet een getal zijn",IF(OR(A188&lt;1,A188&lt;&gt;INT(A188)),"Fout: ID moet een positief geheel getal zijn",IF(COUNTIF($A$2:$A$200,A188)&gt;1,"Fout: ID komt dubbel voor",IF(C188="","Fout: LOCATION is leeg (gebruik bijv. Online)",IF(OR(LEN(B188)&gt;255,LEN(C188)&gt;255),"Fout: maximaal 255 tekens",IF(COUNTIF(Inschrijvingen!$B$2:$B$200,A188)=0,"Let op: nog geen inschrijvingen","OK"))))))))</f>
        <v/>
      </c>
    </row>
    <row r="189" spans="1:4" x14ac:dyDescent="0.25">
      <c r="A189" s="5"/>
      <c r="B189" s="6"/>
      <c r="C189" s="6"/>
      <c r="D189" s="7" t="str">
        <f>IF(AND(A189="",B189="",C189=""),"",IF(OR(A189="",B189=""),"Fout: ID en TITLE zijn verplicht",IF(NOT(ISNUMBER(A189)),"Fout: ID moet een getal zijn",IF(OR(A189&lt;1,A189&lt;&gt;INT(A189)),"Fout: ID moet een positief geheel getal zijn",IF(COUNTIF($A$2:$A$200,A189)&gt;1,"Fout: ID komt dubbel voor",IF(C189="","Fout: LOCATION is leeg (gebruik bijv. Online)",IF(OR(LEN(B189)&gt;255,LEN(C189)&gt;255),"Fout: maximaal 255 tekens",IF(COUNTIF(Inschrijvingen!$B$2:$B$200,A189)=0,"Let op: nog geen inschrijvingen","OK"))))))))</f>
        <v/>
      </c>
    </row>
    <row r="190" spans="1:4" x14ac:dyDescent="0.25">
      <c r="A190" s="5"/>
      <c r="B190" s="6"/>
      <c r="C190" s="6"/>
      <c r="D190" s="7" t="str">
        <f>IF(AND(A190="",B190="",C190=""),"",IF(OR(A190="",B190=""),"Fout: ID en TITLE zijn verplicht",IF(NOT(ISNUMBER(A190)),"Fout: ID moet een getal zijn",IF(OR(A190&lt;1,A190&lt;&gt;INT(A190)),"Fout: ID moet een positief geheel getal zijn",IF(COUNTIF($A$2:$A$200,A190)&gt;1,"Fout: ID komt dubbel voor",IF(C190="","Fout: LOCATION is leeg (gebruik bijv. Online)",IF(OR(LEN(B190)&gt;255,LEN(C190)&gt;255),"Fout: maximaal 255 tekens",IF(COUNTIF(Inschrijvingen!$B$2:$B$200,A190)=0,"Let op: nog geen inschrijvingen","OK"))))))))</f>
        <v/>
      </c>
    </row>
    <row r="191" spans="1:4" x14ac:dyDescent="0.25">
      <c r="A191" s="5"/>
      <c r="B191" s="6"/>
      <c r="C191" s="6"/>
      <c r="D191" s="7" t="str">
        <f>IF(AND(A191="",B191="",C191=""),"",IF(OR(A191="",B191=""),"Fout: ID en TITLE zijn verplicht",IF(NOT(ISNUMBER(A191)),"Fout: ID moet een getal zijn",IF(OR(A191&lt;1,A191&lt;&gt;INT(A191)),"Fout: ID moet een positief geheel getal zijn",IF(COUNTIF($A$2:$A$200,A191)&gt;1,"Fout: ID komt dubbel voor",IF(C191="","Fout: LOCATION is leeg (gebruik bijv. Online)",IF(OR(LEN(B191)&gt;255,LEN(C191)&gt;255),"Fout: maximaal 255 tekens",IF(COUNTIF(Inschrijvingen!$B$2:$B$200,A191)=0,"Let op: nog geen inschrijvingen","OK"))))))))</f>
        <v/>
      </c>
    </row>
    <row r="192" spans="1:4" x14ac:dyDescent="0.25">
      <c r="A192" s="5"/>
      <c r="B192" s="6"/>
      <c r="C192" s="6"/>
      <c r="D192" s="7" t="str">
        <f>IF(AND(A192="",B192="",C192=""),"",IF(OR(A192="",B192=""),"Fout: ID en TITLE zijn verplicht",IF(NOT(ISNUMBER(A192)),"Fout: ID moet een getal zijn",IF(OR(A192&lt;1,A192&lt;&gt;INT(A192)),"Fout: ID moet een positief geheel getal zijn",IF(COUNTIF($A$2:$A$200,A192)&gt;1,"Fout: ID komt dubbel voor",IF(C192="","Fout: LOCATION is leeg (gebruik bijv. Online)",IF(OR(LEN(B192)&gt;255,LEN(C192)&gt;255),"Fout: maximaal 255 tekens",IF(COUNTIF(Inschrijvingen!$B$2:$B$200,A192)=0,"Let op: nog geen inschrijvingen","OK"))))))))</f>
        <v/>
      </c>
    </row>
    <row r="193" spans="1:4" x14ac:dyDescent="0.25">
      <c r="A193" s="5"/>
      <c r="B193" s="6"/>
      <c r="C193" s="6"/>
      <c r="D193" s="7" t="str">
        <f>IF(AND(A193="",B193="",C193=""),"",IF(OR(A193="",B193=""),"Fout: ID en TITLE zijn verplicht",IF(NOT(ISNUMBER(A193)),"Fout: ID moet een getal zijn",IF(OR(A193&lt;1,A193&lt;&gt;INT(A193)),"Fout: ID moet een positief geheel getal zijn",IF(COUNTIF($A$2:$A$200,A193)&gt;1,"Fout: ID komt dubbel voor",IF(C193="","Fout: LOCATION is leeg (gebruik bijv. Online)",IF(OR(LEN(B193)&gt;255,LEN(C193)&gt;255),"Fout: maximaal 255 tekens",IF(COUNTIF(Inschrijvingen!$B$2:$B$200,A193)=0,"Let op: nog geen inschrijvingen","OK"))))))))</f>
        <v/>
      </c>
    </row>
    <row r="194" spans="1:4" x14ac:dyDescent="0.25">
      <c r="A194" s="5"/>
      <c r="B194" s="6"/>
      <c r="C194" s="6"/>
      <c r="D194" s="7" t="str">
        <f>IF(AND(A194="",B194="",C194=""),"",IF(OR(A194="",B194=""),"Fout: ID en TITLE zijn verplicht",IF(NOT(ISNUMBER(A194)),"Fout: ID moet een getal zijn",IF(OR(A194&lt;1,A194&lt;&gt;INT(A194)),"Fout: ID moet een positief geheel getal zijn",IF(COUNTIF($A$2:$A$200,A194)&gt;1,"Fout: ID komt dubbel voor",IF(C194="","Fout: LOCATION is leeg (gebruik bijv. Online)",IF(OR(LEN(B194)&gt;255,LEN(C194)&gt;255),"Fout: maximaal 255 tekens",IF(COUNTIF(Inschrijvingen!$B$2:$B$200,A194)=0,"Let op: nog geen inschrijvingen","OK"))))))))</f>
        <v/>
      </c>
    </row>
    <row r="195" spans="1:4" x14ac:dyDescent="0.25">
      <c r="A195" s="5"/>
      <c r="B195" s="6"/>
      <c r="C195" s="6"/>
      <c r="D195" s="7" t="str">
        <f>IF(AND(A195="",B195="",C195=""),"",IF(OR(A195="",B195=""),"Fout: ID en TITLE zijn verplicht",IF(NOT(ISNUMBER(A195)),"Fout: ID moet een getal zijn",IF(OR(A195&lt;1,A195&lt;&gt;INT(A195)),"Fout: ID moet een positief geheel getal zijn",IF(COUNTIF($A$2:$A$200,A195)&gt;1,"Fout: ID komt dubbel voor",IF(C195="","Fout: LOCATION is leeg (gebruik bijv. Online)",IF(OR(LEN(B195)&gt;255,LEN(C195)&gt;255),"Fout: maximaal 255 tekens",IF(COUNTIF(Inschrijvingen!$B$2:$B$200,A195)=0,"Let op: nog geen inschrijvingen","OK"))))))))</f>
        <v/>
      </c>
    </row>
    <row r="196" spans="1:4" x14ac:dyDescent="0.25">
      <c r="A196" s="5"/>
      <c r="B196" s="6"/>
      <c r="C196" s="6"/>
      <c r="D196" s="7" t="str">
        <f>IF(AND(A196="",B196="",C196=""),"",IF(OR(A196="",B196=""),"Fout: ID en TITLE zijn verplicht",IF(NOT(ISNUMBER(A196)),"Fout: ID moet een getal zijn",IF(OR(A196&lt;1,A196&lt;&gt;INT(A196)),"Fout: ID moet een positief geheel getal zijn",IF(COUNTIF($A$2:$A$200,A196)&gt;1,"Fout: ID komt dubbel voor",IF(C196="","Fout: LOCATION is leeg (gebruik bijv. Online)",IF(OR(LEN(B196)&gt;255,LEN(C196)&gt;255),"Fout: maximaal 255 tekens",IF(COUNTIF(Inschrijvingen!$B$2:$B$200,A196)=0,"Let op: nog geen inschrijvingen","OK"))))))))</f>
        <v/>
      </c>
    </row>
    <row r="197" spans="1:4" x14ac:dyDescent="0.25">
      <c r="A197" s="5"/>
      <c r="B197" s="6"/>
      <c r="C197" s="6"/>
      <c r="D197" s="7" t="str">
        <f>IF(AND(A197="",B197="",C197=""),"",IF(OR(A197="",B197=""),"Fout: ID en TITLE zijn verplicht",IF(NOT(ISNUMBER(A197)),"Fout: ID moet een getal zijn",IF(OR(A197&lt;1,A197&lt;&gt;INT(A197)),"Fout: ID moet een positief geheel getal zijn",IF(COUNTIF($A$2:$A$200,A197)&gt;1,"Fout: ID komt dubbel voor",IF(C197="","Fout: LOCATION is leeg (gebruik bijv. Online)",IF(OR(LEN(B197)&gt;255,LEN(C197)&gt;255),"Fout: maximaal 255 tekens",IF(COUNTIF(Inschrijvingen!$B$2:$B$200,A197)=0,"Let op: nog geen inschrijvingen","OK"))))))))</f>
        <v/>
      </c>
    </row>
    <row r="198" spans="1:4" x14ac:dyDescent="0.25">
      <c r="A198" s="5"/>
      <c r="B198" s="6"/>
      <c r="C198" s="6"/>
      <c r="D198" s="7" t="str">
        <f>IF(AND(A198="",B198="",C198=""),"",IF(OR(A198="",B198=""),"Fout: ID en TITLE zijn verplicht",IF(NOT(ISNUMBER(A198)),"Fout: ID moet een getal zijn",IF(OR(A198&lt;1,A198&lt;&gt;INT(A198)),"Fout: ID moet een positief geheel getal zijn",IF(COUNTIF($A$2:$A$200,A198)&gt;1,"Fout: ID komt dubbel voor",IF(C198="","Fout: LOCATION is leeg (gebruik bijv. Online)",IF(OR(LEN(B198)&gt;255,LEN(C198)&gt;255),"Fout: maximaal 255 tekens",IF(COUNTIF(Inschrijvingen!$B$2:$B$200,A198)=0,"Let op: nog geen inschrijvingen","OK"))))))))</f>
        <v/>
      </c>
    </row>
    <row r="199" spans="1:4" x14ac:dyDescent="0.25">
      <c r="A199" s="5"/>
      <c r="B199" s="6"/>
      <c r="C199" s="6"/>
      <c r="D199" s="7" t="str">
        <f>IF(AND(A199="",B199="",C199=""),"",IF(OR(A199="",B199=""),"Fout: ID en TITLE zijn verplicht",IF(NOT(ISNUMBER(A199)),"Fout: ID moet een getal zijn",IF(OR(A199&lt;1,A199&lt;&gt;INT(A199)),"Fout: ID moet een positief geheel getal zijn",IF(COUNTIF($A$2:$A$200,A199)&gt;1,"Fout: ID komt dubbel voor",IF(C199="","Fout: LOCATION is leeg (gebruik bijv. Online)",IF(OR(LEN(B199)&gt;255,LEN(C199)&gt;255),"Fout: maximaal 255 tekens",IF(COUNTIF(Inschrijvingen!$B$2:$B$200,A199)=0,"Let op: nog geen inschrijvingen","OK"))))))))</f>
        <v/>
      </c>
    </row>
    <row r="200" spans="1:4" x14ac:dyDescent="0.25">
      <c r="A200" s="5"/>
      <c r="B200" s="6"/>
      <c r="C200" s="6"/>
      <c r="D200" s="7" t="str">
        <f>IF(AND(A200="",B200="",C200=""),"",IF(OR(A200="",B200=""),"Fout: ID en TITLE zijn verplicht",IF(NOT(ISNUMBER(A200)),"Fout: ID moet een getal zijn",IF(OR(A200&lt;1,A200&lt;&gt;INT(A200)),"Fout: ID moet een positief geheel getal zijn",IF(COUNTIF($A$2:$A$200,A200)&gt;1,"Fout: ID komt dubbel voor",IF(C200="","Fout: LOCATION is leeg (gebruik bijv. Online)",IF(OR(LEN(B200)&gt;255,LEN(C200)&gt;255),"Fout: maximaal 255 tekens",IF(COUNTIF(Inschrijvingen!$B$2:$B$200,A200)=0,"Let op: nog geen inschrijvingen","OK"))))))))</f>
        <v/>
      </c>
    </row>
  </sheetData>
  <autoFilter ref="A1:D200" xr:uid="{00000000-0009-0000-0000-000001000000}"/>
  <conditionalFormatting sqref="D2:D200">
    <cfRule type="expression" dxfId="5" priority="1">
      <formula>D2="OK"</formula>
    </cfRule>
    <cfRule type="expression" dxfId="4" priority="2">
      <formula>LEFT(D2,7)="Let op:"</formula>
    </cfRule>
    <cfRule type="expression" dxfId="3" priority="3">
      <formula>LEFT(D2,5)="Fout:"</formula>
    </cfRule>
  </conditionalFormatting>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0"/>
  <sheetViews>
    <sheetView workbookViewId="0">
      <pane ySplit="1" topLeftCell="A2" activePane="bottomLeft" state="frozen"/>
      <selection pane="bottomLeft" activeCell="H18" sqref="H18"/>
    </sheetView>
  </sheetViews>
  <sheetFormatPr defaultColWidth="8.85546875" defaultRowHeight="15" x14ac:dyDescent="0.25"/>
  <cols>
    <col min="1" max="1" width="20" customWidth="1"/>
    <col min="2" max="2" width="10" customWidth="1"/>
    <col min="3" max="4" width="18" customWidth="1"/>
    <col min="5" max="5" width="26" customWidth="1"/>
    <col min="6" max="6" width="34" customWidth="1"/>
    <col min="7" max="7" width="11" customWidth="1"/>
    <col min="8" max="8" width="52" customWidth="1"/>
  </cols>
  <sheetData>
    <row r="1" spans="1:8" x14ac:dyDescent="0.25">
      <c r="A1" s="1" t="s">
        <v>30</v>
      </c>
      <c r="B1" s="1" t="s">
        <v>34</v>
      </c>
      <c r="C1" s="1" t="s">
        <v>37</v>
      </c>
      <c r="D1" s="1" t="s">
        <v>41</v>
      </c>
      <c r="E1" s="4" t="s">
        <v>63</v>
      </c>
      <c r="F1" s="4" t="s">
        <v>64</v>
      </c>
      <c r="G1" s="4" t="s">
        <v>65</v>
      </c>
      <c r="H1" s="4" t="s">
        <v>55</v>
      </c>
    </row>
    <row r="2" spans="1:8" x14ac:dyDescent="0.25">
      <c r="A2" s="8" t="s">
        <v>70</v>
      </c>
      <c r="B2" s="5">
        <v>50101</v>
      </c>
      <c r="C2" s="9">
        <v>46329.375</v>
      </c>
      <c r="D2" s="9">
        <v>46329.6875</v>
      </c>
      <c r="E2" s="10" t="s">
        <v>71</v>
      </c>
      <c r="F2" s="7" t="str">
        <f>IF(B2="","",IFERROR(INDEX(Scholingen!$B$2:$B$200,MATCH(B2,Scholingen!$A$2:$A$200,0)),"?"))</f>
        <v>BHV herhaling</v>
      </c>
      <c r="G2" s="11">
        <f t="shared" ref="G2:G33" si="0">IF(AND(ISNUMBER(C2),ISNUMBER(D2)),(D2-C2)*24,"")</f>
        <v>7.5</v>
      </c>
      <c r="H2" s="7" t="str">
        <f ca="1">IF(AND(A2="",B2="",C2="",D2=""),"",IF(OR(A2="",B2="",C2="",D2=""),"Fout: niet alle verplichte velden gevuld",IF(ISNA(MATCH(B2,Scholingen!$A$2:$A$200,0)),"Fout: C_ID bestaat niet in Scholingen",IF(OR(NOT(ISNUMBER(C2)),NOT(ISNUMBER(D2))),"Fout: begin-/eindtijd is geen datum+tijd",IF(D2&lt;=C2,"Fout: eindtijd ligt niet na begintijd",IF(INT(D2)&lt;&gt;INT(C2),"Fout: eindigt op een andere dag (één regel per dag)",IF(COUNTIFS($A$2:$A$200,A2,$B$2:$B$200,B2,$C$2:$C$200,C2)&gt;1,"Fout: dubbele inschrijving",IF(C2&lt;TODAY(),"Let op: ligt in het verleden, wordt geen dienst","OK"))))))))</f>
        <v>OK</v>
      </c>
    </row>
    <row r="3" spans="1:8" x14ac:dyDescent="0.25">
      <c r="A3" s="8" t="s">
        <v>66</v>
      </c>
      <c r="B3" s="5">
        <v>50101</v>
      </c>
      <c r="C3" s="9">
        <v>46329.375</v>
      </c>
      <c r="D3" s="9">
        <v>46329.6875</v>
      </c>
      <c r="E3" s="10" t="s">
        <v>68</v>
      </c>
      <c r="F3" s="7" t="str">
        <f>IF(B3="","",IFERROR(INDEX(Scholingen!$B$2:$B$200,MATCH(B3,Scholingen!$A$2:$A$200,0)),"?"))</f>
        <v>BHV herhaling</v>
      </c>
      <c r="G3" s="11">
        <f t="shared" si="0"/>
        <v>7.5</v>
      </c>
      <c r="H3" s="7" t="str">
        <f ca="1">IF(AND(A3="",B3="",C3="",D3=""),"",IF(OR(A3="",B3="",C3="",D3=""),"Fout: niet alle verplichte velden gevuld",IF(ISNA(MATCH(B3,Scholingen!$A$2:$A$200,0)),"Fout: C_ID bestaat niet in Scholingen",IF(OR(NOT(ISNUMBER(C3)),NOT(ISNUMBER(D3))),"Fout: begin-/eindtijd is geen datum+tijd",IF(D3&lt;=C3,"Fout: eindtijd ligt niet na begintijd",IF(INT(D3)&lt;&gt;INT(C3),"Fout: eindigt op een andere dag (één regel per dag)",IF(COUNTIFS($A$2:$A$200,A3,$B$2:$B$200,B3,$C$2:$C$200,C3)&gt;1,"Fout: dubbele inschrijving",IF(C3&lt;TODAY(),"Let op: ligt in het verleden, wordt geen dienst","OK"))))))))</f>
        <v>OK</v>
      </c>
    </row>
    <row r="4" spans="1:8" x14ac:dyDescent="0.25">
      <c r="A4" s="8" t="s">
        <v>67</v>
      </c>
      <c r="B4" s="5">
        <v>50102</v>
      </c>
      <c r="C4" s="9">
        <v>46336.541666666657</v>
      </c>
      <c r="D4" s="9">
        <v>46336.666666666657</v>
      </c>
      <c r="E4" s="10" t="s">
        <v>69</v>
      </c>
      <c r="F4" s="7" t="str">
        <f>IF(B4="","",IFERROR(INDEX(Scholingen!$B$2:$B$200,MATCH(B4,Scholingen!$A$2:$A$200,0)),"?"))</f>
        <v>Reanimatie (BLS/AED) herhaling</v>
      </c>
      <c r="G4" s="11">
        <f t="shared" si="0"/>
        <v>3</v>
      </c>
      <c r="H4" s="7" t="str">
        <f ca="1">IF(AND(A4="",B4="",C4="",D4=""),"",IF(OR(A4="",B4="",C4="",D4=""),"Fout: niet alle verplichte velden gevuld",IF(ISNA(MATCH(B4,Scholingen!$A$2:$A$200,0)),"Fout: C_ID bestaat niet in Scholingen",IF(OR(NOT(ISNUMBER(C4)),NOT(ISNUMBER(D4))),"Fout: begin-/eindtijd is geen datum+tijd",IF(D4&lt;=C4,"Fout: eindtijd ligt niet na begintijd",IF(INT(D4)&lt;&gt;INT(C4),"Fout: eindigt op een andere dag (één regel per dag)",IF(COUNTIFS($A$2:$A$200,A4,$B$2:$B$200,B4,$C$2:$C$200,C4)&gt;1,"Fout: dubbele inschrijving",IF(C4&lt;TODAY(),"Let op: ligt in het verleden, wordt geen dienst","OK"))))))))</f>
        <v>OK</v>
      </c>
    </row>
    <row r="5" spans="1:8" x14ac:dyDescent="0.25">
      <c r="A5" s="8" t="s">
        <v>70</v>
      </c>
      <c r="B5" s="5">
        <v>50104</v>
      </c>
      <c r="C5" s="9">
        <v>46343.791666666657</v>
      </c>
      <c r="D5" s="9">
        <v>46343.875</v>
      </c>
      <c r="E5" s="10" t="s">
        <v>71</v>
      </c>
      <c r="F5" s="7" t="str">
        <f>IF(B5="","",IFERROR(INDEX(Scholingen!$B$2:$B$200,MATCH(B5,Scholingen!$A$2:$A$200,0)),"?"))</f>
        <v>Medicatieveiligheid</v>
      </c>
      <c r="G5" s="11">
        <f t="shared" si="0"/>
        <v>2.0000000002328306</v>
      </c>
      <c r="H5" s="7" t="str">
        <f ca="1">IF(AND(A5="",B5="",C5="",D5=""),"",IF(OR(A5="",B5="",C5="",D5=""),"Fout: niet alle verplichte velden gevuld",IF(ISNA(MATCH(B5,Scholingen!$A$2:$A$200,0)),"Fout: C_ID bestaat niet in Scholingen",IF(OR(NOT(ISNUMBER(C5)),NOT(ISNUMBER(D5))),"Fout: begin-/eindtijd is geen datum+tijd",IF(D5&lt;=C5,"Fout: eindtijd ligt niet na begintijd",IF(INT(D5)&lt;&gt;INT(C5),"Fout: eindigt op een andere dag (één regel per dag)",IF(COUNTIFS($A$2:$A$200,A5,$B$2:$B$200,B5,$C$2:$C$200,C5)&gt;1,"Fout: dubbele inschrijving",IF(C5&lt;TODAY(),"Let op: ligt in het verleden, wordt geen dienst","OK"))))))))</f>
        <v>OK</v>
      </c>
    </row>
    <row r="6" spans="1:8" x14ac:dyDescent="0.25">
      <c r="A6" s="8" t="s">
        <v>72</v>
      </c>
      <c r="B6" s="5">
        <v>50103</v>
      </c>
      <c r="C6" s="9">
        <v>46350.354166666657</v>
      </c>
      <c r="D6" s="9">
        <v>46350.520833333343</v>
      </c>
      <c r="E6" s="10" t="s">
        <v>73</v>
      </c>
      <c r="F6" s="7" t="str">
        <f>IF(B6="","",IFERROR(INDEX(Scholingen!$B$2:$B$200,MATCH(B6,Scholingen!$A$2:$A$200,0)),"?"))</f>
        <v>Voorbehouden handelingen: injecteren</v>
      </c>
      <c r="G6" s="11">
        <f t="shared" si="0"/>
        <v>4.0000000004656613</v>
      </c>
      <c r="H6" s="7" t="str">
        <f ca="1">IF(AND(A6="",B6="",C6="",D6=""),"",IF(OR(A6="",B6="",C6="",D6=""),"Fout: niet alle verplichte velden gevuld",IF(ISNA(MATCH(B6,Scholingen!$A$2:$A$200,0)),"Fout: C_ID bestaat niet in Scholingen",IF(OR(NOT(ISNUMBER(C6)),NOT(ISNUMBER(D6))),"Fout: begin-/eindtijd is geen datum+tijd",IF(D6&lt;=C6,"Fout: eindtijd ligt niet na begintijd",IF(INT(D6)&lt;&gt;INT(C6),"Fout: eindigt op een andere dag (één regel per dag)",IF(COUNTIFS($A$2:$A$200,A6,$B$2:$B$200,B6,$C$2:$C$200,C6)&gt;1,"Fout: dubbele inschrijving",IF(C6&lt;TODAY(),"Let op: ligt in het verleden, wordt geen dienst","OK"))))))))</f>
        <v>OK</v>
      </c>
    </row>
    <row r="7" spans="1:8" x14ac:dyDescent="0.25">
      <c r="A7" s="8" t="s">
        <v>70</v>
      </c>
      <c r="B7" s="5">
        <v>50105</v>
      </c>
      <c r="C7" s="9">
        <v>46357.375</v>
      </c>
      <c r="D7" s="9">
        <v>46357.708333333343</v>
      </c>
      <c r="E7" s="10" t="s">
        <v>71</v>
      </c>
      <c r="F7" s="7" t="str">
        <f>IF(B7="","",IFERROR(INDEX(Scholingen!$B$2:$B$200,MATCH(B7,Scholingen!$A$2:$A$200,0)),"?"))</f>
        <v>Omgaan met agressie</v>
      </c>
      <c r="G7" s="11">
        <f t="shared" si="0"/>
        <v>8.0000000002328306</v>
      </c>
      <c r="H7" s="7" t="str">
        <f ca="1">IF(AND(A7="",B7="",C7="",D7=""),"",IF(OR(A7="",B7="",C7="",D7=""),"Fout: niet alle verplichte velden gevuld",IF(ISNA(MATCH(B7,Scholingen!$A$2:$A$200,0)),"Fout: C_ID bestaat niet in Scholingen",IF(OR(NOT(ISNUMBER(C7)),NOT(ISNUMBER(D7))),"Fout: begin-/eindtijd is geen datum+tijd",IF(D7&lt;=C7,"Fout: eindtijd ligt niet na begintijd",IF(INT(D7)&lt;&gt;INT(C7),"Fout: eindigt op een andere dag (één regel per dag)",IF(COUNTIFS($A$2:$A$200,A7,$B$2:$B$200,B7,$C$2:$C$200,C7)&gt;1,"Fout: dubbele inschrijving",IF(C7&lt;TODAY(),"Let op: ligt in het verleden, wordt geen dienst","OK"))))))))</f>
        <v>OK</v>
      </c>
    </row>
    <row r="8" spans="1:8" x14ac:dyDescent="0.25">
      <c r="A8" s="8" t="s">
        <v>66</v>
      </c>
      <c r="B8" s="5">
        <v>50105</v>
      </c>
      <c r="C8" s="9">
        <v>46358.375</v>
      </c>
      <c r="D8" s="9">
        <v>46358.541666666657</v>
      </c>
      <c r="E8" s="10" t="s">
        <v>68</v>
      </c>
      <c r="F8" s="7" t="str">
        <f>IF(B8="","",IFERROR(INDEX(Scholingen!$B$2:$B$200,MATCH(B8,Scholingen!$A$2:$A$200,0)),"?"))</f>
        <v>Omgaan met agressie</v>
      </c>
      <c r="G8" s="11">
        <f t="shared" si="0"/>
        <v>3.9999999997671694</v>
      </c>
      <c r="H8" s="7" t="str">
        <f ca="1">IF(AND(A8="",B8="",C8="",D8=""),"",IF(OR(A8="",B8="",C8="",D8=""),"Fout: niet alle verplichte velden gevuld",IF(ISNA(MATCH(B8,Scholingen!$A$2:$A$200,0)),"Fout: C_ID bestaat niet in Scholingen",IF(OR(NOT(ISNUMBER(C8)),NOT(ISNUMBER(D8))),"Fout: begin-/eindtijd is geen datum+tijd",IF(D8&lt;=C8,"Fout: eindtijd ligt niet na begintijd",IF(INT(D8)&lt;&gt;INT(C8),"Fout: eindigt op een andere dag (één regel per dag)",IF(COUNTIFS($A$2:$A$200,A8,$B$2:$B$200,B8,$C$2:$C$200,C8)&gt;1,"Fout: dubbele inschrijving",IF(C8&lt;TODAY(),"Let op: ligt in het verleden, wordt geen dienst","OK"))))))))</f>
        <v>OK</v>
      </c>
    </row>
    <row r="9" spans="1:8" x14ac:dyDescent="0.25">
      <c r="A9" s="8" t="s">
        <v>72</v>
      </c>
      <c r="B9" s="5">
        <v>50102</v>
      </c>
      <c r="C9" s="9">
        <v>46364.541666666657</v>
      </c>
      <c r="D9" s="9">
        <v>46364.666666666657</v>
      </c>
      <c r="E9" s="10" t="s">
        <v>73</v>
      </c>
      <c r="F9" s="7" t="str">
        <f>IF(B9="","",IFERROR(INDEX(Scholingen!$B$2:$B$200,MATCH(B9,Scholingen!$A$2:$A$200,0)),"?"))</f>
        <v>Reanimatie (BLS/AED) herhaling</v>
      </c>
      <c r="G9" s="11">
        <f t="shared" si="0"/>
        <v>3</v>
      </c>
      <c r="H9" s="7" t="str">
        <f ca="1">IF(AND(A9="",B9="",C9="",D9=""),"",IF(OR(A9="",B9="",C9="",D9=""),"Fout: niet alle verplichte velden gevuld",IF(ISNA(MATCH(B9,Scholingen!$A$2:$A$200,0)),"Fout: C_ID bestaat niet in Scholingen",IF(OR(NOT(ISNUMBER(C9)),NOT(ISNUMBER(D9))),"Fout: begin-/eindtijd is geen datum+tijd",IF(D9&lt;=C9,"Fout: eindtijd ligt niet na begintijd",IF(INT(D9)&lt;&gt;INT(C9),"Fout: eindigt op een andere dag (één regel per dag)",IF(COUNTIFS($A$2:$A$200,A9,$B$2:$B$200,B9,$C$2:$C$200,C9)&gt;1,"Fout: dubbele inschrijving",IF(C9&lt;TODAY(),"Let op: ligt in het verleden, wordt geen dienst","OK"))))))))</f>
        <v>OK</v>
      </c>
    </row>
    <row r="10" spans="1:8" x14ac:dyDescent="0.25">
      <c r="A10" s="8" t="s">
        <v>75</v>
      </c>
      <c r="B10" s="5">
        <v>50102</v>
      </c>
      <c r="C10" s="9">
        <v>46336.541666666657</v>
      </c>
      <c r="D10" s="9">
        <v>46336.666666666657</v>
      </c>
      <c r="E10" s="10" t="s">
        <v>74</v>
      </c>
      <c r="F10" s="7" t="str">
        <f>IF(B10="","",IFERROR(INDEX(Scholingen!$B$2:$B$200,MATCH(B10,Scholingen!$A$2:$A$200,0)),"?"))</f>
        <v>Reanimatie (BLS/AED) herhaling</v>
      </c>
      <c r="G10" s="11">
        <f t="shared" ref="G10" si="1">IF(AND(ISNUMBER(C10),ISNUMBER(D10)),(D10-C10)*24,"")</f>
        <v>3</v>
      </c>
      <c r="H10" s="7" t="str">
        <f ca="1">IF(AND(A10="",B10="",C10="",D10=""),"",IF(OR(A10="",B10="",C10="",D10=""),"Fout: niet alle verplichte velden gevuld",IF(ISNA(MATCH(B10,Scholingen!$A$2:$A$200,0)),"Fout: C_ID bestaat niet in Scholingen",IF(OR(NOT(ISNUMBER(C10)),NOT(ISNUMBER(D10))),"Fout: begin-/eindtijd is geen datum+tijd",IF(D10&lt;=C10,"Fout: eindtijd ligt niet na begintijd",IF(INT(D10)&lt;&gt;INT(C10),"Fout: eindigt op een andere dag (één regel per dag)",IF(COUNTIFS($A$2:$A$200,A10,$B$2:$B$200,B10,$C$2:$C$200,C10)&gt;1,"Fout: dubbele inschrijving",IF(C10&lt;TODAY(),"Let op: ligt in het verleden, wordt geen dienst","OK"))))))))</f>
        <v>OK</v>
      </c>
    </row>
    <row r="11" spans="1:8" x14ac:dyDescent="0.25">
      <c r="A11" s="8" t="s">
        <v>77</v>
      </c>
      <c r="B11" s="5">
        <v>50102</v>
      </c>
      <c r="C11" s="9">
        <v>46336.541666666657</v>
      </c>
      <c r="D11" s="9">
        <v>46336.666666666657</v>
      </c>
      <c r="E11" s="10" t="s">
        <v>76</v>
      </c>
      <c r="F11" s="7" t="str">
        <f>IF(B11="","",IFERROR(INDEX(Scholingen!$B$2:$B$200,MATCH(B11,Scholingen!$A$2:$A$200,0)),"?"))</f>
        <v>Reanimatie (BLS/AED) herhaling</v>
      </c>
      <c r="G11" s="11">
        <f t="shared" ref="G11" si="2">IF(AND(ISNUMBER(C11),ISNUMBER(D11)),(D11-C11)*24,"")</f>
        <v>3</v>
      </c>
      <c r="H11" s="7" t="str">
        <f ca="1">IF(AND(A11="",B11="",C11="",D11=""),"",IF(OR(A11="",B11="",C11="",D11=""),"Fout: niet alle verplichte velden gevuld",IF(ISNA(MATCH(B11,Scholingen!$A$2:$A$200,0)),"Fout: C_ID bestaat niet in Scholingen",IF(OR(NOT(ISNUMBER(C11)),NOT(ISNUMBER(D11))),"Fout: begin-/eindtijd is geen datum+tijd",IF(D11&lt;=C11,"Fout: eindtijd ligt niet na begintijd",IF(INT(D11)&lt;&gt;INT(C11),"Fout: eindigt op een andere dag (één regel per dag)",IF(COUNTIFS($A$2:$A$200,A11,$B$2:$B$200,B11,$C$2:$C$200,C11)&gt;1,"Fout: dubbele inschrijving",IF(C11&lt;TODAY(),"Let op: ligt in het verleden, wordt geen dienst","OK"))))))))</f>
        <v>OK</v>
      </c>
    </row>
    <row r="12" spans="1:8" x14ac:dyDescent="0.25">
      <c r="A12" s="8" t="s">
        <v>78</v>
      </c>
      <c r="B12" s="5">
        <v>50102</v>
      </c>
      <c r="C12" s="9">
        <v>46336.541666666657</v>
      </c>
      <c r="D12" s="9">
        <v>46336.666666666657</v>
      </c>
      <c r="E12" s="10" t="s">
        <v>79</v>
      </c>
      <c r="F12" s="7" t="str">
        <f>IF(B12="","",IFERROR(INDEX(Scholingen!$B$2:$B$200,MATCH(B12,Scholingen!$A$2:$A$200,0)),"?"))</f>
        <v>Reanimatie (BLS/AED) herhaling</v>
      </c>
      <c r="G12" s="11">
        <f t="shared" ref="G12" si="3">IF(AND(ISNUMBER(C12),ISNUMBER(D12)),(D12-C12)*24,"")</f>
        <v>3</v>
      </c>
      <c r="H12" s="7" t="str">
        <f ca="1">IF(AND(A12="",B12="",C12="",D12=""),"",IF(OR(A12="",B12="",C12="",D12=""),"Fout: niet alle verplichte velden gevuld",IF(ISNA(MATCH(B12,Scholingen!$A$2:$A$200,0)),"Fout: C_ID bestaat niet in Scholingen",IF(OR(NOT(ISNUMBER(C12)),NOT(ISNUMBER(D12))),"Fout: begin-/eindtijd is geen datum+tijd",IF(D12&lt;=C12,"Fout: eindtijd ligt niet na begintijd",IF(INT(D12)&lt;&gt;INT(C12),"Fout: eindigt op een andere dag (één regel per dag)",IF(COUNTIFS($A$2:$A$200,A12,$B$2:$B$200,B12,$C$2:$C$200,C12)&gt;1,"Fout: dubbele inschrijving",IF(C12&lt;TODAY(),"Let op: ligt in het verleden, wordt geen dienst","OK"))))))))</f>
        <v>OK</v>
      </c>
    </row>
    <row r="13" spans="1:8" x14ac:dyDescent="0.25">
      <c r="A13" s="8"/>
      <c r="B13" s="5"/>
      <c r="C13" s="9"/>
      <c r="D13" s="9"/>
      <c r="E13" s="10"/>
      <c r="F13" s="7" t="str">
        <f>IF(B13="","",IFERROR(INDEX(Scholingen!$B$2:$B$200,MATCH(B13,Scholingen!$A$2:$A$200,0)),"?"))</f>
        <v/>
      </c>
      <c r="G13" s="11" t="str">
        <f t="shared" si="0"/>
        <v/>
      </c>
      <c r="H13" s="7" t="str">
        <f ca="1">IF(AND(A13="",B13="",C13="",D13=""),"",IF(OR(A13="",B13="",C13="",D13=""),"Fout: niet alle verplichte velden gevuld",IF(ISNA(MATCH(B13,Scholingen!$A$2:$A$200,0)),"Fout: C_ID bestaat niet in Scholingen",IF(OR(NOT(ISNUMBER(C13)),NOT(ISNUMBER(D13))),"Fout: begin-/eindtijd is geen datum+tijd",IF(D13&lt;=C13,"Fout: eindtijd ligt niet na begintijd",IF(INT(D13)&lt;&gt;INT(C13),"Fout: eindigt op een andere dag (één regel per dag)",IF(COUNTIFS($A$2:$A$200,A13,$B$2:$B$200,B13,$C$2:$C$200,C13)&gt;1,"Fout: dubbele inschrijving",IF(C13&lt;TODAY(),"Let op: ligt in het verleden, wordt geen dienst","OK"))))))))</f>
        <v/>
      </c>
    </row>
    <row r="14" spans="1:8" x14ac:dyDescent="0.25">
      <c r="A14" s="8"/>
      <c r="B14" s="5"/>
      <c r="C14" s="9"/>
      <c r="D14" s="9"/>
      <c r="E14" s="10"/>
      <c r="F14" s="7" t="str">
        <f>IF(B14="","",IFERROR(INDEX(Scholingen!$B$2:$B$200,MATCH(B14,Scholingen!$A$2:$A$200,0)),"?"))</f>
        <v/>
      </c>
      <c r="G14" s="11" t="str">
        <f t="shared" si="0"/>
        <v/>
      </c>
      <c r="H14" s="7" t="str">
        <f ca="1">IF(AND(A14="",B14="",C14="",D14=""),"",IF(OR(A14="",B14="",C14="",D14=""),"Fout: niet alle verplichte velden gevuld",IF(ISNA(MATCH(B14,Scholingen!$A$2:$A$200,0)),"Fout: C_ID bestaat niet in Scholingen",IF(OR(NOT(ISNUMBER(C14)),NOT(ISNUMBER(D14))),"Fout: begin-/eindtijd is geen datum+tijd",IF(D14&lt;=C14,"Fout: eindtijd ligt niet na begintijd",IF(INT(D14)&lt;&gt;INT(C14),"Fout: eindigt op een andere dag (één regel per dag)",IF(COUNTIFS($A$2:$A$200,A14,$B$2:$B$200,B14,$C$2:$C$200,C14)&gt;1,"Fout: dubbele inschrijving",IF(C14&lt;TODAY(),"Let op: ligt in het verleden, wordt geen dienst","OK"))))))))</f>
        <v/>
      </c>
    </row>
    <row r="15" spans="1:8" x14ac:dyDescent="0.25">
      <c r="A15" s="8"/>
      <c r="B15" s="5"/>
      <c r="C15" s="9"/>
      <c r="D15" s="9"/>
      <c r="E15" s="10"/>
      <c r="F15" s="7" t="str">
        <f>IF(B15="","",IFERROR(INDEX(Scholingen!$B$2:$B$200,MATCH(B15,Scholingen!$A$2:$A$200,0)),"?"))</f>
        <v/>
      </c>
      <c r="G15" s="11" t="str">
        <f t="shared" si="0"/>
        <v/>
      </c>
      <c r="H15" s="7" t="str">
        <f ca="1">IF(AND(A15="",B15="",C15="",D15=""),"",IF(OR(A15="",B15="",C15="",D15=""),"Fout: niet alle verplichte velden gevuld",IF(ISNA(MATCH(B15,Scholingen!$A$2:$A$200,0)),"Fout: C_ID bestaat niet in Scholingen",IF(OR(NOT(ISNUMBER(C15)),NOT(ISNUMBER(D15))),"Fout: begin-/eindtijd is geen datum+tijd",IF(D15&lt;=C15,"Fout: eindtijd ligt niet na begintijd",IF(INT(D15)&lt;&gt;INT(C15),"Fout: eindigt op een andere dag (één regel per dag)",IF(COUNTIFS($A$2:$A$200,A15,$B$2:$B$200,B15,$C$2:$C$200,C15)&gt;1,"Fout: dubbele inschrijving",IF(C15&lt;TODAY(),"Let op: ligt in het verleden, wordt geen dienst","OK"))))))))</f>
        <v/>
      </c>
    </row>
    <row r="16" spans="1:8" x14ac:dyDescent="0.25">
      <c r="A16" s="8"/>
      <c r="B16" s="5"/>
      <c r="C16" s="9"/>
      <c r="D16" s="9"/>
      <c r="E16" s="10"/>
      <c r="F16" s="7" t="str">
        <f>IF(B16="","",IFERROR(INDEX(Scholingen!$B$2:$B$200,MATCH(B16,Scholingen!$A$2:$A$200,0)),"?"))</f>
        <v/>
      </c>
      <c r="G16" s="11" t="str">
        <f t="shared" si="0"/>
        <v/>
      </c>
      <c r="H16" s="7" t="str">
        <f ca="1">IF(AND(A16="",B16="",C16="",D16=""),"",IF(OR(A16="",B16="",C16="",D16=""),"Fout: niet alle verplichte velden gevuld",IF(ISNA(MATCH(B16,Scholingen!$A$2:$A$200,0)),"Fout: C_ID bestaat niet in Scholingen",IF(OR(NOT(ISNUMBER(C16)),NOT(ISNUMBER(D16))),"Fout: begin-/eindtijd is geen datum+tijd",IF(D16&lt;=C16,"Fout: eindtijd ligt niet na begintijd",IF(INT(D16)&lt;&gt;INT(C16),"Fout: eindigt op een andere dag (één regel per dag)",IF(COUNTIFS($A$2:$A$200,A16,$B$2:$B$200,B16,$C$2:$C$200,C16)&gt;1,"Fout: dubbele inschrijving",IF(C16&lt;TODAY(),"Let op: ligt in het verleden, wordt geen dienst","OK"))))))))</f>
        <v/>
      </c>
    </row>
    <row r="17" spans="1:8" x14ac:dyDescent="0.25">
      <c r="A17" s="8"/>
      <c r="B17" s="5"/>
      <c r="C17" s="9"/>
      <c r="D17" s="9"/>
      <c r="E17" s="10"/>
      <c r="F17" s="7" t="str">
        <f>IF(B17="","",IFERROR(INDEX(Scholingen!$B$2:$B$200,MATCH(B17,Scholingen!$A$2:$A$200,0)),"?"))</f>
        <v/>
      </c>
      <c r="G17" s="11" t="str">
        <f t="shared" si="0"/>
        <v/>
      </c>
      <c r="H17" s="7" t="str">
        <f ca="1">IF(AND(A17="",B17="",C17="",D17=""),"",IF(OR(A17="",B17="",C17="",D17=""),"Fout: niet alle verplichte velden gevuld",IF(ISNA(MATCH(B17,Scholingen!$A$2:$A$200,0)),"Fout: C_ID bestaat niet in Scholingen",IF(OR(NOT(ISNUMBER(C17)),NOT(ISNUMBER(D17))),"Fout: begin-/eindtijd is geen datum+tijd",IF(D17&lt;=C17,"Fout: eindtijd ligt niet na begintijd",IF(INT(D17)&lt;&gt;INT(C17),"Fout: eindigt op een andere dag (één regel per dag)",IF(COUNTIFS($A$2:$A$200,A17,$B$2:$B$200,B17,$C$2:$C$200,C17)&gt;1,"Fout: dubbele inschrijving",IF(C17&lt;TODAY(),"Let op: ligt in het verleden, wordt geen dienst","OK"))))))))</f>
        <v/>
      </c>
    </row>
    <row r="18" spans="1:8" x14ac:dyDescent="0.25">
      <c r="A18" s="8"/>
      <c r="B18" s="5"/>
      <c r="C18" s="9"/>
      <c r="D18" s="9"/>
      <c r="E18" s="10"/>
      <c r="F18" s="7" t="str">
        <f>IF(B18="","",IFERROR(INDEX(Scholingen!$B$2:$B$200,MATCH(B18,Scholingen!$A$2:$A$200,0)),"?"))</f>
        <v/>
      </c>
      <c r="G18" s="11" t="str">
        <f t="shared" si="0"/>
        <v/>
      </c>
      <c r="H18" s="7" t="str">
        <f ca="1">IF(AND(A18="",B18="",C18="",D18=""),"",IF(OR(A18="",B18="",C18="",D18=""),"Fout: niet alle verplichte velden gevuld",IF(ISNA(MATCH(B18,Scholingen!$A$2:$A$200,0)),"Fout: C_ID bestaat niet in Scholingen",IF(OR(NOT(ISNUMBER(C18)),NOT(ISNUMBER(D18))),"Fout: begin-/eindtijd is geen datum+tijd",IF(D18&lt;=C18,"Fout: eindtijd ligt niet na begintijd",IF(INT(D18)&lt;&gt;INT(C18),"Fout: eindigt op een andere dag (één regel per dag)",IF(COUNTIFS($A$2:$A$200,A18,$B$2:$B$200,B18,$C$2:$C$200,C18)&gt;1,"Fout: dubbele inschrijving",IF(C18&lt;TODAY(),"Let op: ligt in het verleden, wordt geen dienst","OK"))))))))</f>
        <v/>
      </c>
    </row>
    <row r="19" spans="1:8" x14ac:dyDescent="0.25">
      <c r="A19" s="8"/>
      <c r="B19" s="5"/>
      <c r="C19" s="9"/>
      <c r="D19" s="9"/>
      <c r="E19" s="10"/>
      <c r="F19" s="7" t="str">
        <f>IF(B19="","",IFERROR(INDEX(Scholingen!$B$2:$B$200,MATCH(B19,Scholingen!$A$2:$A$200,0)),"?"))</f>
        <v/>
      </c>
      <c r="G19" s="11" t="str">
        <f t="shared" si="0"/>
        <v/>
      </c>
      <c r="H19" s="7" t="str">
        <f ca="1">IF(AND(A19="",B19="",C19="",D19=""),"",IF(OR(A19="",B19="",C19="",D19=""),"Fout: niet alle verplichte velden gevuld",IF(ISNA(MATCH(B19,Scholingen!$A$2:$A$200,0)),"Fout: C_ID bestaat niet in Scholingen",IF(OR(NOT(ISNUMBER(C19)),NOT(ISNUMBER(D19))),"Fout: begin-/eindtijd is geen datum+tijd",IF(D19&lt;=C19,"Fout: eindtijd ligt niet na begintijd",IF(INT(D19)&lt;&gt;INT(C19),"Fout: eindigt op een andere dag (één regel per dag)",IF(COUNTIFS($A$2:$A$200,A19,$B$2:$B$200,B19,$C$2:$C$200,C19)&gt;1,"Fout: dubbele inschrijving",IF(C19&lt;TODAY(),"Let op: ligt in het verleden, wordt geen dienst","OK"))))))))</f>
        <v/>
      </c>
    </row>
    <row r="20" spans="1:8" x14ac:dyDescent="0.25">
      <c r="A20" s="8"/>
      <c r="B20" s="5"/>
      <c r="C20" s="9"/>
      <c r="D20" s="9"/>
      <c r="E20" s="10"/>
      <c r="F20" s="7" t="str">
        <f>IF(B20="","",IFERROR(INDEX(Scholingen!$B$2:$B$200,MATCH(B20,Scholingen!$A$2:$A$200,0)),"?"))</f>
        <v/>
      </c>
      <c r="G20" s="11" t="str">
        <f t="shared" si="0"/>
        <v/>
      </c>
      <c r="H20" s="7" t="str">
        <f ca="1">IF(AND(A20="",B20="",C20="",D20=""),"",IF(OR(A20="",B20="",C20="",D20=""),"Fout: niet alle verplichte velden gevuld",IF(ISNA(MATCH(B20,Scholingen!$A$2:$A$200,0)),"Fout: C_ID bestaat niet in Scholingen",IF(OR(NOT(ISNUMBER(C20)),NOT(ISNUMBER(D20))),"Fout: begin-/eindtijd is geen datum+tijd",IF(D20&lt;=C20,"Fout: eindtijd ligt niet na begintijd",IF(INT(D20)&lt;&gt;INT(C20),"Fout: eindigt op een andere dag (één regel per dag)",IF(COUNTIFS($A$2:$A$200,A20,$B$2:$B$200,B20,$C$2:$C$200,C20)&gt;1,"Fout: dubbele inschrijving",IF(C20&lt;TODAY(),"Let op: ligt in het verleden, wordt geen dienst","OK"))))))))</f>
        <v/>
      </c>
    </row>
    <row r="21" spans="1:8" x14ac:dyDescent="0.25">
      <c r="A21" s="8"/>
      <c r="B21" s="5"/>
      <c r="C21" s="9"/>
      <c r="D21" s="9"/>
      <c r="E21" s="10"/>
      <c r="F21" s="7" t="str">
        <f>IF(B21="","",IFERROR(INDEX(Scholingen!$B$2:$B$200,MATCH(B21,Scholingen!$A$2:$A$200,0)),"?"))</f>
        <v/>
      </c>
      <c r="G21" s="11" t="str">
        <f t="shared" si="0"/>
        <v/>
      </c>
      <c r="H21" s="7" t="str">
        <f ca="1">IF(AND(A21="",B21="",C21="",D21=""),"",IF(OR(A21="",B21="",C21="",D21=""),"Fout: niet alle verplichte velden gevuld",IF(ISNA(MATCH(B21,Scholingen!$A$2:$A$200,0)),"Fout: C_ID bestaat niet in Scholingen",IF(OR(NOT(ISNUMBER(C21)),NOT(ISNUMBER(D21))),"Fout: begin-/eindtijd is geen datum+tijd",IF(D21&lt;=C21,"Fout: eindtijd ligt niet na begintijd",IF(INT(D21)&lt;&gt;INT(C21),"Fout: eindigt op een andere dag (één regel per dag)",IF(COUNTIFS($A$2:$A$200,A21,$B$2:$B$200,B21,$C$2:$C$200,C21)&gt;1,"Fout: dubbele inschrijving",IF(C21&lt;TODAY(),"Let op: ligt in het verleden, wordt geen dienst","OK"))))))))</f>
        <v/>
      </c>
    </row>
    <row r="22" spans="1:8" x14ac:dyDescent="0.25">
      <c r="A22" s="8"/>
      <c r="B22" s="5"/>
      <c r="C22" s="9"/>
      <c r="D22" s="9"/>
      <c r="E22" s="10"/>
      <c r="F22" s="7" t="str">
        <f>IF(B22="","",IFERROR(INDEX(Scholingen!$B$2:$B$200,MATCH(B22,Scholingen!$A$2:$A$200,0)),"?"))</f>
        <v/>
      </c>
      <c r="G22" s="11" t="str">
        <f t="shared" si="0"/>
        <v/>
      </c>
      <c r="H22" s="7" t="str">
        <f ca="1">IF(AND(A22="",B22="",C22="",D22=""),"",IF(OR(A22="",B22="",C22="",D22=""),"Fout: niet alle verplichte velden gevuld",IF(ISNA(MATCH(B22,Scholingen!$A$2:$A$200,0)),"Fout: C_ID bestaat niet in Scholingen",IF(OR(NOT(ISNUMBER(C22)),NOT(ISNUMBER(D22))),"Fout: begin-/eindtijd is geen datum+tijd",IF(D22&lt;=C22,"Fout: eindtijd ligt niet na begintijd",IF(INT(D22)&lt;&gt;INT(C22),"Fout: eindigt op een andere dag (één regel per dag)",IF(COUNTIFS($A$2:$A$200,A22,$B$2:$B$200,B22,$C$2:$C$200,C22)&gt;1,"Fout: dubbele inschrijving",IF(C22&lt;TODAY(),"Let op: ligt in het verleden, wordt geen dienst","OK"))))))))</f>
        <v/>
      </c>
    </row>
    <row r="23" spans="1:8" x14ac:dyDescent="0.25">
      <c r="A23" s="8"/>
      <c r="B23" s="5"/>
      <c r="C23" s="9"/>
      <c r="D23" s="9"/>
      <c r="E23" s="10"/>
      <c r="F23" s="7" t="str">
        <f>IF(B23="","",IFERROR(INDEX(Scholingen!$B$2:$B$200,MATCH(B23,Scholingen!$A$2:$A$200,0)),"?"))</f>
        <v/>
      </c>
      <c r="G23" s="11" t="str">
        <f t="shared" si="0"/>
        <v/>
      </c>
      <c r="H23" s="7" t="str">
        <f ca="1">IF(AND(A23="",B23="",C23="",D23=""),"",IF(OR(A23="",B23="",C23="",D23=""),"Fout: niet alle verplichte velden gevuld",IF(ISNA(MATCH(B23,Scholingen!$A$2:$A$200,0)),"Fout: C_ID bestaat niet in Scholingen",IF(OR(NOT(ISNUMBER(C23)),NOT(ISNUMBER(D23))),"Fout: begin-/eindtijd is geen datum+tijd",IF(D23&lt;=C23,"Fout: eindtijd ligt niet na begintijd",IF(INT(D23)&lt;&gt;INT(C23),"Fout: eindigt op een andere dag (één regel per dag)",IF(COUNTIFS($A$2:$A$200,A23,$B$2:$B$200,B23,$C$2:$C$200,C23)&gt;1,"Fout: dubbele inschrijving",IF(C23&lt;TODAY(),"Let op: ligt in het verleden, wordt geen dienst","OK"))))))))</f>
        <v/>
      </c>
    </row>
    <row r="24" spans="1:8" x14ac:dyDescent="0.25">
      <c r="A24" s="8"/>
      <c r="B24" s="5"/>
      <c r="C24" s="9"/>
      <c r="D24" s="9"/>
      <c r="E24" s="10"/>
      <c r="F24" s="7" t="str">
        <f>IF(B24="","",IFERROR(INDEX(Scholingen!$B$2:$B$200,MATCH(B24,Scholingen!$A$2:$A$200,0)),"?"))</f>
        <v/>
      </c>
      <c r="G24" s="11" t="str">
        <f t="shared" si="0"/>
        <v/>
      </c>
      <c r="H24" s="7" t="str">
        <f ca="1">IF(AND(A24="",B24="",C24="",D24=""),"",IF(OR(A24="",B24="",C24="",D24=""),"Fout: niet alle verplichte velden gevuld",IF(ISNA(MATCH(B24,Scholingen!$A$2:$A$200,0)),"Fout: C_ID bestaat niet in Scholingen",IF(OR(NOT(ISNUMBER(C24)),NOT(ISNUMBER(D24))),"Fout: begin-/eindtijd is geen datum+tijd",IF(D24&lt;=C24,"Fout: eindtijd ligt niet na begintijd",IF(INT(D24)&lt;&gt;INT(C24),"Fout: eindigt op een andere dag (één regel per dag)",IF(COUNTIFS($A$2:$A$200,A24,$B$2:$B$200,B24,$C$2:$C$200,C24)&gt;1,"Fout: dubbele inschrijving",IF(C24&lt;TODAY(),"Let op: ligt in het verleden, wordt geen dienst","OK"))))))))</f>
        <v/>
      </c>
    </row>
    <row r="25" spans="1:8" x14ac:dyDescent="0.25">
      <c r="A25" s="8"/>
      <c r="B25" s="5"/>
      <c r="C25" s="9"/>
      <c r="D25" s="9"/>
      <c r="E25" s="10"/>
      <c r="F25" s="7" t="str">
        <f>IF(B25="","",IFERROR(INDEX(Scholingen!$B$2:$B$200,MATCH(B25,Scholingen!$A$2:$A$200,0)),"?"))</f>
        <v/>
      </c>
      <c r="G25" s="11" t="str">
        <f t="shared" si="0"/>
        <v/>
      </c>
      <c r="H25" s="7" t="str">
        <f ca="1">IF(AND(A25="",B25="",C25="",D25=""),"",IF(OR(A25="",B25="",C25="",D25=""),"Fout: niet alle verplichte velden gevuld",IF(ISNA(MATCH(B25,Scholingen!$A$2:$A$200,0)),"Fout: C_ID bestaat niet in Scholingen",IF(OR(NOT(ISNUMBER(C25)),NOT(ISNUMBER(D25))),"Fout: begin-/eindtijd is geen datum+tijd",IF(D25&lt;=C25,"Fout: eindtijd ligt niet na begintijd",IF(INT(D25)&lt;&gt;INT(C25),"Fout: eindigt op een andere dag (één regel per dag)",IF(COUNTIFS($A$2:$A$200,A25,$B$2:$B$200,B25,$C$2:$C$200,C25)&gt;1,"Fout: dubbele inschrijving",IF(C25&lt;TODAY(),"Let op: ligt in het verleden, wordt geen dienst","OK"))))))))</f>
        <v/>
      </c>
    </row>
    <row r="26" spans="1:8" x14ac:dyDescent="0.25">
      <c r="A26" s="8"/>
      <c r="B26" s="5"/>
      <c r="C26" s="9"/>
      <c r="D26" s="9"/>
      <c r="E26" s="10"/>
      <c r="F26" s="7" t="str">
        <f>IF(B26="","",IFERROR(INDEX(Scholingen!$B$2:$B$200,MATCH(B26,Scholingen!$A$2:$A$200,0)),"?"))</f>
        <v/>
      </c>
      <c r="G26" s="11" t="str">
        <f t="shared" si="0"/>
        <v/>
      </c>
      <c r="H26" s="7" t="str">
        <f ca="1">IF(AND(A26="",B26="",C26="",D26=""),"",IF(OR(A26="",B26="",C26="",D26=""),"Fout: niet alle verplichte velden gevuld",IF(ISNA(MATCH(B26,Scholingen!$A$2:$A$200,0)),"Fout: C_ID bestaat niet in Scholingen",IF(OR(NOT(ISNUMBER(C26)),NOT(ISNUMBER(D26))),"Fout: begin-/eindtijd is geen datum+tijd",IF(D26&lt;=C26,"Fout: eindtijd ligt niet na begintijd",IF(INT(D26)&lt;&gt;INT(C26),"Fout: eindigt op een andere dag (één regel per dag)",IF(COUNTIFS($A$2:$A$200,A26,$B$2:$B$200,B26,$C$2:$C$200,C26)&gt;1,"Fout: dubbele inschrijving",IF(C26&lt;TODAY(),"Let op: ligt in het verleden, wordt geen dienst","OK"))))))))</f>
        <v/>
      </c>
    </row>
    <row r="27" spans="1:8" x14ac:dyDescent="0.25">
      <c r="A27" s="8"/>
      <c r="B27" s="5"/>
      <c r="C27" s="9"/>
      <c r="D27" s="9"/>
      <c r="E27" s="10"/>
      <c r="F27" s="7" t="str">
        <f>IF(B27="","",IFERROR(INDEX(Scholingen!$B$2:$B$200,MATCH(B27,Scholingen!$A$2:$A$200,0)),"?"))</f>
        <v/>
      </c>
      <c r="G27" s="11" t="str">
        <f t="shared" si="0"/>
        <v/>
      </c>
      <c r="H27" s="7" t="str">
        <f ca="1">IF(AND(A27="",B27="",C27="",D27=""),"",IF(OR(A27="",B27="",C27="",D27=""),"Fout: niet alle verplichte velden gevuld",IF(ISNA(MATCH(B27,Scholingen!$A$2:$A$200,0)),"Fout: C_ID bestaat niet in Scholingen",IF(OR(NOT(ISNUMBER(C27)),NOT(ISNUMBER(D27))),"Fout: begin-/eindtijd is geen datum+tijd",IF(D27&lt;=C27,"Fout: eindtijd ligt niet na begintijd",IF(INT(D27)&lt;&gt;INT(C27),"Fout: eindigt op een andere dag (één regel per dag)",IF(COUNTIFS($A$2:$A$200,A27,$B$2:$B$200,B27,$C$2:$C$200,C27)&gt;1,"Fout: dubbele inschrijving",IF(C27&lt;TODAY(),"Let op: ligt in het verleden, wordt geen dienst","OK"))))))))</f>
        <v/>
      </c>
    </row>
    <row r="28" spans="1:8" x14ac:dyDescent="0.25">
      <c r="A28" s="8"/>
      <c r="B28" s="5"/>
      <c r="C28" s="9"/>
      <c r="D28" s="9"/>
      <c r="E28" s="10"/>
      <c r="F28" s="7" t="str">
        <f>IF(B28="","",IFERROR(INDEX(Scholingen!$B$2:$B$200,MATCH(B28,Scholingen!$A$2:$A$200,0)),"?"))</f>
        <v/>
      </c>
      <c r="G28" s="11" t="str">
        <f t="shared" si="0"/>
        <v/>
      </c>
      <c r="H28" s="7" t="str">
        <f ca="1">IF(AND(A28="",B28="",C28="",D28=""),"",IF(OR(A28="",B28="",C28="",D28=""),"Fout: niet alle verplichte velden gevuld",IF(ISNA(MATCH(B28,Scholingen!$A$2:$A$200,0)),"Fout: C_ID bestaat niet in Scholingen",IF(OR(NOT(ISNUMBER(C28)),NOT(ISNUMBER(D28))),"Fout: begin-/eindtijd is geen datum+tijd",IF(D28&lt;=C28,"Fout: eindtijd ligt niet na begintijd",IF(INT(D28)&lt;&gt;INT(C28),"Fout: eindigt op een andere dag (één regel per dag)",IF(COUNTIFS($A$2:$A$200,A28,$B$2:$B$200,B28,$C$2:$C$200,C28)&gt;1,"Fout: dubbele inschrijving",IF(C28&lt;TODAY(),"Let op: ligt in het verleden, wordt geen dienst","OK"))))))))</f>
        <v/>
      </c>
    </row>
    <row r="29" spans="1:8" x14ac:dyDescent="0.25">
      <c r="A29" s="8"/>
      <c r="B29" s="5"/>
      <c r="C29" s="9"/>
      <c r="D29" s="9"/>
      <c r="E29" s="10"/>
      <c r="F29" s="7" t="str">
        <f>IF(B29="","",IFERROR(INDEX(Scholingen!$B$2:$B$200,MATCH(B29,Scholingen!$A$2:$A$200,0)),"?"))</f>
        <v/>
      </c>
      <c r="G29" s="11" t="str">
        <f t="shared" si="0"/>
        <v/>
      </c>
      <c r="H29" s="7" t="str">
        <f ca="1">IF(AND(A29="",B29="",C29="",D29=""),"",IF(OR(A29="",B29="",C29="",D29=""),"Fout: niet alle verplichte velden gevuld",IF(ISNA(MATCH(B29,Scholingen!$A$2:$A$200,0)),"Fout: C_ID bestaat niet in Scholingen",IF(OR(NOT(ISNUMBER(C29)),NOT(ISNUMBER(D29))),"Fout: begin-/eindtijd is geen datum+tijd",IF(D29&lt;=C29,"Fout: eindtijd ligt niet na begintijd",IF(INT(D29)&lt;&gt;INT(C29),"Fout: eindigt op een andere dag (één regel per dag)",IF(COUNTIFS($A$2:$A$200,A29,$B$2:$B$200,B29,$C$2:$C$200,C29)&gt;1,"Fout: dubbele inschrijving",IF(C29&lt;TODAY(),"Let op: ligt in het verleden, wordt geen dienst","OK"))))))))</f>
        <v/>
      </c>
    </row>
    <row r="30" spans="1:8" x14ac:dyDescent="0.25">
      <c r="A30" s="8"/>
      <c r="B30" s="5"/>
      <c r="C30" s="9"/>
      <c r="D30" s="9"/>
      <c r="E30" s="10"/>
      <c r="F30" s="7" t="str">
        <f>IF(B30="","",IFERROR(INDEX(Scholingen!$B$2:$B$200,MATCH(B30,Scholingen!$A$2:$A$200,0)),"?"))</f>
        <v/>
      </c>
      <c r="G30" s="11" t="str">
        <f t="shared" si="0"/>
        <v/>
      </c>
      <c r="H30" s="7" t="str">
        <f ca="1">IF(AND(A30="",B30="",C30="",D30=""),"",IF(OR(A30="",B30="",C30="",D30=""),"Fout: niet alle verplichte velden gevuld",IF(ISNA(MATCH(B30,Scholingen!$A$2:$A$200,0)),"Fout: C_ID bestaat niet in Scholingen",IF(OR(NOT(ISNUMBER(C30)),NOT(ISNUMBER(D30))),"Fout: begin-/eindtijd is geen datum+tijd",IF(D30&lt;=C30,"Fout: eindtijd ligt niet na begintijd",IF(INT(D30)&lt;&gt;INT(C30),"Fout: eindigt op een andere dag (één regel per dag)",IF(COUNTIFS($A$2:$A$200,A30,$B$2:$B$200,B30,$C$2:$C$200,C30)&gt;1,"Fout: dubbele inschrijving",IF(C30&lt;TODAY(),"Let op: ligt in het verleden, wordt geen dienst","OK"))))))))</f>
        <v/>
      </c>
    </row>
    <row r="31" spans="1:8" x14ac:dyDescent="0.25">
      <c r="A31" s="8"/>
      <c r="B31" s="5"/>
      <c r="C31" s="9"/>
      <c r="D31" s="9"/>
      <c r="E31" s="10"/>
      <c r="F31" s="7" t="str">
        <f>IF(B31="","",IFERROR(INDEX(Scholingen!$B$2:$B$200,MATCH(B31,Scholingen!$A$2:$A$200,0)),"?"))</f>
        <v/>
      </c>
      <c r="G31" s="11" t="str">
        <f t="shared" si="0"/>
        <v/>
      </c>
      <c r="H31" s="7" t="str">
        <f ca="1">IF(AND(A31="",B31="",C31="",D31=""),"",IF(OR(A31="",B31="",C31="",D31=""),"Fout: niet alle verplichte velden gevuld",IF(ISNA(MATCH(B31,Scholingen!$A$2:$A$200,0)),"Fout: C_ID bestaat niet in Scholingen",IF(OR(NOT(ISNUMBER(C31)),NOT(ISNUMBER(D31))),"Fout: begin-/eindtijd is geen datum+tijd",IF(D31&lt;=C31,"Fout: eindtijd ligt niet na begintijd",IF(INT(D31)&lt;&gt;INT(C31),"Fout: eindigt op een andere dag (één regel per dag)",IF(COUNTIFS($A$2:$A$200,A31,$B$2:$B$200,B31,$C$2:$C$200,C31)&gt;1,"Fout: dubbele inschrijving",IF(C31&lt;TODAY(),"Let op: ligt in het verleden, wordt geen dienst","OK"))))))))</f>
        <v/>
      </c>
    </row>
    <row r="32" spans="1:8" x14ac:dyDescent="0.25">
      <c r="A32" s="8"/>
      <c r="B32" s="5"/>
      <c r="C32" s="9"/>
      <c r="D32" s="9"/>
      <c r="E32" s="10"/>
      <c r="F32" s="7" t="str">
        <f>IF(B32="","",IFERROR(INDEX(Scholingen!$B$2:$B$200,MATCH(B32,Scholingen!$A$2:$A$200,0)),"?"))</f>
        <v/>
      </c>
      <c r="G32" s="11" t="str">
        <f t="shared" si="0"/>
        <v/>
      </c>
      <c r="H32" s="7" t="str">
        <f ca="1">IF(AND(A32="",B32="",C32="",D32=""),"",IF(OR(A32="",B32="",C32="",D32=""),"Fout: niet alle verplichte velden gevuld",IF(ISNA(MATCH(B32,Scholingen!$A$2:$A$200,0)),"Fout: C_ID bestaat niet in Scholingen",IF(OR(NOT(ISNUMBER(C32)),NOT(ISNUMBER(D32))),"Fout: begin-/eindtijd is geen datum+tijd",IF(D32&lt;=C32,"Fout: eindtijd ligt niet na begintijd",IF(INT(D32)&lt;&gt;INT(C32),"Fout: eindigt op een andere dag (één regel per dag)",IF(COUNTIFS($A$2:$A$200,A32,$B$2:$B$200,B32,$C$2:$C$200,C32)&gt;1,"Fout: dubbele inschrijving",IF(C32&lt;TODAY(),"Let op: ligt in het verleden, wordt geen dienst","OK"))))))))</f>
        <v/>
      </c>
    </row>
    <row r="33" spans="1:8" x14ac:dyDescent="0.25">
      <c r="A33" s="8"/>
      <c r="B33" s="5"/>
      <c r="C33" s="9"/>
      <c r="D33" s="9"/>
      <c r="E33" s="10"/>
      <c r="F33" s="7" t="str">
        <f>IF(B33="","",IFERROR(INDEX(Scholingen!$B$2:$B$200,MATCH(B33,Scholingen!$A$2:$A$200,0)),"?"))</f>
        <v/>
      </c>
      <c r="G33" s="11" t="str">
        <f t="shared" si="0"/>
        <v/>
      </c>
      <c r="H33" s="7" t="str">
        <f ca="1">IF(AND(A33="",B33="",C33="",D33=""),"",IF(OR(A33="",B33="",C33="",D33=""),"Fout: niet alle verplichte velden gevuld",IF(ISNA(MATCH(B33,Scholingen!$A$2:$A$200,0)),"Fout: C_ID bestaat niet in Scholingen",IF(OR(NOT(ISNUMBER(C33)),NOT(ISNUMBER(D33))),"Fout: begin-/eindtijd is geen datum+tijd",IF(D33&lt;=C33,"Fout: eindtijd ligt niet na begintijd",IF(INT(D33)&lt;&gt;INT(C33),"Fout: eindigt op een andere dag (één regel per dag)",IF(COUNTIFS($A$2:$A$200,A33,$B$2:$B$200,B33,$C$2:$C$200,C33)&gt;1,"Fout: dubbele inschrijving",IF(C33&lt;TODAY(),"Let op: ligt in het verleden, wordt geen dienst","OK"))))))))</f>
        <v/>
      </c>
    </row>
    <row r="34" spans="1:8" x14ac:dyDescent="0.25">
      <c r="A34" s="8"/>
      <c r="B34" s="5"/>
      <c r="C34" s="9"/>
      <c r="D34" s="9"/>
      <c r="E34" s="10"/>
      <c r="F34" s="7" t="str">
        <f>IF(B34="","",IFERROR(INDEX(Scholingen!$B$2:$B$200,MATCH(B34,Scholingen!$A$2:$A$200,0)),"?"))</f>
        <v/>
      </c>
      <c r="G34" s="11" t="str">
        <f t="shared" ref="G34:G65" si="4">IF(AND(ISNUMBER(C34),ISNUMBER(D34)),(D34-C34)*24,"")</f>
        <v/>
      </c>
      <c r="H34" s="7" t="str">
        <f ca="1">IF(AND(A34="",B34="",C34="",D34=""),"",IF(OR(A34="",B34="",C34="",D34=""),"Fout: niet alle verplichte velden gevuld",IF(ISNA(MATCH(B34,Scholingen!$A$2:$A$200,0)),"Fout: C_ID bestaat niet in Scholingen",IF(OR(NOT(ISNUMBER(C34)),NOT(ISNUMBER(D34))),"Fout: begin-/eindtijd is geen datum+tijd",IF(D34&lt;=C34,"Fout: eindtijd ligt niet na begintijd",IF(INT(D34)&lt;&gt;INT(C34),"Fout: eindigt op een andere dag (één regel per dag)",IF(COUNTIFS($A$2:$A$200,A34,$B$2:$B$200,B34,$C$2:$C$200,C34)&gt;1,"Fout: dubbele inschrijving",IF(C34&lt;TODAY(),"Let op: ligt in het verleden, wordt geen dienst","OK"))))))))</f>
        <v/>
      </c>
    </row>
    <row r="35" spans="1:8" x14ac:dyDescent="0.25">
      <c r="A35" s="8"/>
      <c r="B35" s="5"/>
      <c r="C35" s="9"/>
      <c r="D35" s="9"/>
      <c r="E35" s="10"/>
      <c r="F35" s="7" t="str">
        <f>IF(B35="","",IFERROR(INDEX(Scholingen!$B$2:$B$200,MATCH(B35,Scholingen!$A$2:$A$200,0)),"?"))</f>
        <v/>
      </c>
      <c r="G35" s="11" t="str">
        <f t="shared" si="4"/>
        <v/>
      </c>
      <c r="H35" s="7" t="str">
        <f ca="1">IF(AND(A35="",B35="",C35="",D35=""),"",IF(OR(A35="",B35="",C35="",D35=""),"Fout: niet alle verplichte velden gevuld",IF(ISNA(MATCH(B35,Scholingen!$A$2:$A$200,0)),"Fout: C_ID bestaat niet in Scholingen",IF(OR(NOT(ISNUMBER(C35)),NOT(ISNUMBER(D35))),"Fout: begin-/eindtijd is geen datum+tijd",IF(D35&lt;=C35,"Fout: eindtijd ligt niet na begintijd",IF(INT(D35)&lt;&gt;INT(C35),"Fout: eindigt op een andere dag (één regel per dag)",IF(COUNTIFS($A$2:$A$200,A35,$B$2:$B$200,B35,$C$2:$C$200,C35)&gt;1,"Fout: dubbele inschrijving",IF(C35&lt;TODAY(),"Let op: ligt in het verleden, wordt geen dienst","OK"))))))))</f>
        <v/>
      </c>
    </row>
    <row r="36" spans="1:8" x14ac:dyDescent="0.25">
      <c r="A36" s="8"/>
      <c r="B36" s="5"/>
      <c r="C36" s="9"/>
      <c r="D36" s="9"/>
      <c r="E36" s="10"/>
      <c r="F36" s="7" t="str">
        <f>IF(B36="","",IFERROR(INDEX(Scholingen!$B$2:$B$200,MATCH(B36,Scholingen!$A$2:$A$200,0)),"?"))</f>
        <v/>
      </c>
      <c r="G36" s="11" t="str">
        <f t="shared" si="4"/>
        <v/>
      </c>
      <c r="H36" s="7" t="str">
        <f ca="1">IF(AND(A36="",B36="",C36="",D36=""),"",IF(OR(A36="",B36="",C36="",D36=""),"Fout: niet alle verplichte velden gevuld",IF(ISNA(MATCH(B36,Scholingen!$A$2:$A$200,0)),"Fout: C_ID bestaat niet in Scholingen",IF(OR(NOT(ISNUMBER(C36)),NOT(ISNUMBER(D36))),"Fout: begin-/eindtijd is geen datum+tijd",IF(D36&lt;=C36,"Fout: eindtijd ligt niet na begintijd",IF(INT(D36)&lt;&gt;INT(C36),"Fout: eindigt op een andere dag (één regel per dag)",IF(COUNTIFS($A$2:$A$200,A36,$B$2:$B$200,B36,$C$2:$C$200,C36)&gt;1,"Fout: dubbele inschrijving",IF(C36&lt;TODAY(),"Let op: ligt in het verleden, wordt geen dienst","OK"))))))))</f>
        <v/>
      </c>
    </row>
    <row r="37" spans="1:8" x14ac:dyDescent="0.25">
      <c r="A37" s="8"/>
      <c r="B37" s="5"/>
      <c r="C37" s="9"/>
      <c r="D37" s="9"/>
      <c r="E37" s="10"/>
      <c r="F37" s="7" t="str">
        <f>IF(B37="","",IFERROR(INDEX(Scholingen!$B$2:$B$200,MATCH(B37,Scholingen!$A$2:$A$200,0)),"?"))</f>
        <v/>
      </c>
      <c r="G37" s="11" t="str">
        <f t="shared" si="4"/>
        <v/>
      </c>
      <c r="H37" s="7" t="str">
        <f ca="1">IF(AND(A37="",B37="",C37="",D37=""),"",IF(OR(A37="",B37="",C37="",D37=""),"Fout: niet alle verplichte velden gevuld",IF(ISNA(MATCH(B37,Scholingen!$A$2:$A$200,0)),"Fout: C_ID bestaat niet in Scholingen",IF(OR(NOT(ISNUMBER(C37)),NOT(ISNUMBER(D37))),"Fout: begin-/eindtijd is geen datum+tijd",IF(D37&lt;=C37,"Fout: eindtijd ligt niet na begintijd",IF(INT(D37)&lt;&gt;INT(C37),"Fout: eindigt op een andere dag (één regel per dag)",IF(COUNTIFS($A$2:$A$200,A37,$B$2:$B$200,B37,$C$2:$C$200,C37)&gt;1,"Fout: dubbele inschrijving",IF(C37&lt;TODAY(),"Let op: ligt in het verleden, wordt geen dienst","OK"))))))))</f>
        <v/>
      </c>
    </row>
    <row r="38" spans="1:8" x14ac:dyDescent="0.25">
      <c r="A38" s="8"/>
      <c r="B38" s="5"/>
      <c r="C38" s="9"/>
      <c r="D38" s="9"/>
      <c r="E38" s="10"/>
      <c r="F38" s="7" t="str">
        <f>IF(B38="","",IFERROR(INDEX(Scholingen!$B$2:$B$200,MATCH(B38,Scholingen!$A$2:$A$200,0)),"?"))</f>
        <v/>
      </c>
      <c r="G38" s="11" t="str">
        <f t="shared" si="4"/>
        <v/>
      </c>
      <c r="H38" s="7" t="str">
        <f ca="1">IF(AND(A38="",B38="",C38="",D38=""),"",IF(OR(A38="",B38="",C38="",D38=""),"Fout: niet alle verplichte velden gevuld",IF(ISNA(MATCH(B38,Scholingen!$A$2:$A$200,0)),"Fout: C_ID bestaat niet in Scholingen",IF(OR(NOT(ISNUMBER(C38)),NOT(ISNUMBER(D38))),"Fout: begin-/eindtijd is geen datum+tijd",IF(D38&lt;=C38,"Fout: eindtijd ligt niet na begintijd",IF(INT(D38)&lt;&gt;INT(C38),"Fout: eindigt op een andere dag (één regel per dag)",IF(COUNTIFS($A$2:$A$200,A38,$B$2:$B$200,B38,$C$2:$C$200,C38)&gt;1,"Fout: dubbele inschrijving",IF(C38&lt;TODAY(),"Let op: ligt in het verleden, wordt geen dienst","OK"))))))))</f>
        <v/>
      </c>
    </row>
    <row r="39" spans="1:8" x14ac:dyDescent="0.25">
      <c r="A39" s="8"/>
      <c r="B39" s="5"/>
      <c r="C39" s="9"/>
      <c r="D39" s="9"/>
      <c r="E39" s="10"/>
      <c r="F39" s="7" t="str">
        <f>IF(B39="","",IFERROR(INDEX(Scholingen!$B$2:$B$200,MATCH(B39,Scholingen!$A$2:$A$200,0)),"?"))</f>
        <v/>
      </c>
      <c r="G39" s="11" t="str">
        <f t="shared" si="4"/>
        <v/>
      </c>
      <c r="H39" s="7" t="str">
        <f ca="1">IF(AND(A39="",B39="",C39="",D39=""),"",IF(OR(A39="",B39="",C39="",D39=""),"Fout: niet alle verplichte velden gevuld",IF(ISNA(MATCH(B39,Scholingen!$A$2:$A$200,0)),"Fout: C_ID bestaat niet in Scholingen",IF(OR(NOT(ISNUMBER(C39)),NOT(ISNUMBER(D39))),"Fout: begin-/eindtijd is geen datum+tijd",IF(D39&lt;=C39,"Fout: eindtijd ligt niet na begintijd",IF(INT(D39)&lt;&gt;INT(C39),"Fout: eindigt op een andere dag (één regel per dag)",IF(COUNTIFS($A$2:$A$200,A39,$B$2:$B$200,B39,$C$2:$C$200,C39)&gt;1,"Fout: dubbele inschrijving",IF(C39&lt;TODAY(),"Let op: ligt in het verleden, wordt geen dienst","OK"))))))))</f>
        <v/>
      </c>
    </row>
    <row r="40" spans="1:8" x14ac:dyDescent="0.25">
      <c r="A40" s="8"/>
      <c r="B40" s="5"/>
      <c r="C40" s="9"/>
      <c r="D40" s="9"/>
      <c r="E40" s="10"/>
      <c r="F40" s="7" t="str">
        <f>IF(B40="","",IFERROR(INDEX(Scholingen!$B$2:$B$200,MATCH(B40,Scholingen!$A$2:$A$200,0)),"?"))</f>
        <v/>
      </c>
      <c r="G40" s="11" t="str">
        <f t="shared" si="4"/>
        <v/>
      </c>
      <c r="H40" s="7" t="str">
        <f ca="1">IF(AND(A40="",B40="",C40="",D40=""),"",IF(OR(A40="",B40="",C40="",D40=""),"Fout: niet alle verplichte velden gevuld",IF(ISNA(MATCH(B40,Scholingen!$A$2:$A$200,0)),"Fout: C_ID bestaat niet in Scholingen",IF(OR(NOT(ISNUMBER(C40)),NOT(ISNUMBER(D40))),"Fout: begin-/eindtijd is geen datum+tijd",IF(D40&lt;=C40,"Fout: eindtijd ligt niet na begintijd",IF(INT(D40)&lt;&gt;INT(C40),"Fout: eindigt op een andere dag (één regel per dag)",IF(COUNTIFS($A$2:$A$200,A40,$B$2:$B$200,B40,$C$2:$C$200,C40)&gt;1,"Fout: dubbele inschrijving",IF(C40&lt;TODAY(),"Let op: ligt in het verleden, wordt geen dienst","OK"))))))))</f>
        <v/>
      </c>
    </row>
    <row r="41" spans="1:8" x14ac:dyDescent="0.25">
      <c r="A41" s="8"/>
      <c r="B41" s="5"/>
      <c r="C41" s="9"/>
      <c r="D41" s="9"/>
      <c r="E41" s="10"/>
      <c r="F41" s="7" t="str">
        <f>IF(B41="","",IFERROR(INDEX(Scholingen!$B$2:$B$200,MATCH(B41,Scholingen!$A$2:$A$200,0)),"?"))</f>
        <v/>
      </c>
      <c r="G41" s="11" t="str">
        <f t="shared" si="4"/>
        <v/>
      </c>
      <c r="H41" s="7" t="str">
        <f ca="1">IF(AND(A41="",B41="",C41="",D41=""),"",IF(OR(A41="",B41="",C41="",D41=""),"Fout: niet alle verplichte velden gevuld",IF(ISNA(MATCH(B41,Scholingen!$A$2:$A$200,0)),"Fout: C_ID bestaat niet in Scholingen",IF(OR(NOT(ISNUMBER(C41)),NOT(ISNUMBER(D41))),"Fout: begin-/eindtijd is geen datum+tijd",IF(D41&lt;=C41,"Fout: eindtijd ligt niet na begintijd",IF(INT(D41)&lt;&gt;INT(C41),"Fout: eindigt op een andere dag (één regel per dag)",IF(COUNTIFS($A$2:$A$200,A41,$B$2:$B$200,B41,$C$2:$C$200,C41)&gt;1,"Fout: dubbele inschrijving",IF(C41&lt;TODAY(),"Let op: ligt in het verleden, wordt geen dienst","OK"))))))))</f>
        <v/>
      </c>
    </row>
    <row r="42" spans="1:8" x14ac:dyDescent="0.25">
      <c r="A42" s="8"/>
      <c r="B42" s="5"/>
      <c r="C42" s="9"/>
      <c r="D42" s="9"/>
      <c r="E42" s="10"/>
      <c r="F42" s="7" t="str">
        <f>IF(B42="","",IFERROR(INDEX(Scholingen!$B$2:$B$200,MATCH(B42,Scholingen!$A$2:$A$200,0)),"?"))</f>
        <v/>
      </c>
      <c r="G42" s="11" t="str">
        <f t="shared" si="4"/>
        <v/>
      </c>
      <c r="H42" s="7" t="str">
        <f ca="1">IF(AND(A42="",B42="",C42="",D42=""),"",IF(OR(A42="",B42="",C42="",D42=""),"Fout: niet alle verplichte velden gevuld",IF(ISNA(MATCH(B42,Scholingen!$A$2:$A$200,0)),"Fout: C_ID bestaat niet in Scholingen",IF(OR(NOT(ISNUMBER(C42)),NOT(ISNUMBER(D42))),"Fout: begin-/eindtijd is geen datum+tijd",IF(D42&lt;=C42,"Fout: eindtijd ligt niet na begintijd",IF(INT(D42)&lt;&gt;INT(C42),"Fout: eindigt op een andere dag (één regel per dag)",IF(COUNTIFS($A$2:$A$200,A42,$B$2:$B$200,B42,$C$2:$C$200,C42)&gt;1,"Fout: dubbele inschrijving",IF(C42&lt;TODAY(),"Let op: ligt in het verleden, wordt geen dienst","OK"))))))))</f>
        <v/>
      </c>
    </row>
    <row r="43" spans="1:8" x14ac:dyDescent="0.25">
      <c r="A43" s="8"/>
      <c r="B43" s="5"/>
      <c r="C43" s="9"/>
      <c r="D43" s="9"/>
      <c r="E43" s="10"/>
      <c r="F43" s="7" t="str">
        <f>IF(B43="","",IFERROR(INDEX(Scholingen!$B$2:$B$200,MATCH(B43,Scholingen!$A$2:$A$200,0)),"?"))</f>
        <v/>
      </c>
      <c r="G43" s="11" t="str">
        <f t="shared" si="4"/>
        <v/>
      </c>
      <c r="H43" s="7" t="str">
        <f ca="1">IF(AND(A43="",B43="",C43="",D43=""),"",IF(OR(A43="",B43="",C43="",D43=""),"Fout: niet alle verplichte velden gevuld",IF(ISNA(MATCH(B43,Scholingen!$A$2:$A$200,0)),"Fout: C_ID bestaat niet in Scholingen",IF(OR(NOT(ISNUMBER(C43)),NOT(ISNUMBER(D43))),"Fout: begin-/eindtijd is geen datum+tijd",IF(D43&lt;=C43,"Fout: eindtijd ligt niet na begintijd",IF(INT(D43)&lt;&gt;INT(C43),"Fout: eindigt op een andere dag (één regel per dag)",IF(COUNTIFS($A$2:$A$200,A43,$B$2:$B$200,B43,$C$2:$C$200,C43)&gt;1,"Fout: dubbele inschrijving",IF(C43&lt;TODAY(),"Let op: ligt in het verleden, wordt geen dienst","OK"))))))))</f>
        <v/>
      </c>
    </row>
    <row r="44" spans="1:8" x14ac:dyDescent="0.25">
      <c r="A44" s="8"/>
      <c r="B44" s="5"/>
      <c r="C44" s="9"/>
      <c r="D44" s="9"/>
      <c r="E44" s="10"/>
      <c r="F44" s="7" t="str">
        <f>IF(B44="","",IFERROR(INDEX(Scholingen!$B$2:$B$200,MATCH(B44,Scholingen!$A$2:$A$200,0)),"?"))</f>
        <v/>
      </c>
      <c r="G44" s="11" t="str">
        <f t="shared" si="4"/>
        <v/>
      </c>
      <c r="H44" s="7" t="str">
        <f ca="1">IF(AND(A44="",B44="",C44="",D44=""),"",IF(OR(A44="",B44="",C44="",D44=""),"Fout: niet alle verplichte velden gevuld",IF(ISNA(MATCH(B44,Scholingen!$A$2:$A$200,0)),"Fout: C_ID bestaat niet in Scholingen",IF(OR(NOT(ISNUMBER(C44)),NOT(ISNUMBER(D44))),"Fout: begin-/eindtijd is geen datum+tijd",IF(D44&lt;=C44,"Fout: eindtijd ligt niet na begintijd",IF(INT(D44)&lt;&gt;INT(C44),"Fout: eindigt op een andere dag (één regel per dag)",IF(COUNTIFS($A$2:$A$200,A44,$B$2:$B$200,B44,$C$2:$C$200,C44)&gt;1,"Fout: dubbele inschrijving",IF(C44&lt;TODAY(),"Let op: ligt in het verleden, wordt geen dienst","OK"))))))))</f>
        <v/>
      </c>
    </row>
    <row r="45" spans="1:8" x14ac:dyDescent="0.25">
      <c r="A45" s="8"/>
      <c r="B45" s="5"/>
      <c r="C45" s="9"/>
      <c r="D45" s="9"/>
      <c r="E45" s="10"/>
      <c r="F45" s="7" t="str">
        <f>IF(B45="","",IFERROR(INDEX(Scholingen!$B$2:$B$200,MATCH(B45,Scholingen!$A$2:$A$200,0)),"?"))</f>
        <v/>
      </c>
      <c r="G45" s="11" t="str">
        <f t="shared" si="4"/>
        <v/>
      </c>
      <c r="H45" s="7" t="str">
        <f ca="1">IF(AND(A45="",B45="",C45="",D45=""),"",IF(OR(A45="",B45="",C45="",D45=""),"Fout: niet alle verplichte velden gevuld",IF(ISNA(MATCH(B45,Scholingen!$A$2:$A$200,0)),"Fout: C_ID bestaat niet in Scholingen",IF(OR(NOT(ISNUMBER(C45)),NOT(ISNUMBER(D45))),"Fout: begin-/eindtijd is geen datum+tijd",IF(D45&lt;=C45,"Fout: eindtijd ligt niet na begintijd",IF(INT(D45)&lt;&gt;INT(C45),"Fout: eindigt op een andere dag (één regel per dag)",IF(COUNTIFS($A$2:$A$200,A45,$B$2:$B$200,B45,$C$2:$C$200,C45)&gt;1,"Fout: dubbele inschrijving",IF(C45&lt;TODAY(),"Let op: ligt in het verleden, wordt geen dienst","OK"))))))))</f>
        <v/>
      </c>
    </row>
    <row r="46" spans="1:8" x14ac:dyDescent="0.25">
      <c r="A46" s="8"/>
      <c r="B46" s="5"/>
      <c r="C46" s="9"/>
      <c r="D46" s="9"/>
      <c r="E46" s="10"/>
      <c r="F46" s="7" t="str">
        <f>IF(B46="","",IFERROR(INDEX(Scholingen!$B$2:$B$200,MATCH(B46,Scholingen!$A$2:$A$200,0)),"?"))</f>
        <v/>
      </c>
      <c r="G46" s="11" t="str">
        <f t="shared" si="4"/>
        <v/>
      </c>
      <c r="H46" s="7" t="str">
        <f ca="1">IF(AND(A46="",B46="",C46="",D46=""),"",IF(OR(A46="",B46="",C46="",D46=""),"Fout: niet alle verplichte velden gevuld",IF(ISNA(MATCH(B46,Scholingen!$A$2:$A$200,0)),"Fout: C_ID bestaat niet in Scholingen",IF(OR(NOT(ISNUMBER(C46)),NOT(ISNUMBER(D46))),"Fout: begin-/eindtijd is geen datum+tijd",IF(D46&lt;=C46,"Fout: eindtijd ligt niet na begintijd",IF(INT(D46)&lt;&gt;INT(C46),"Fout: eindigt op een andere dag (één regel per dag)",IF(COUNTIFS($A$2:$A$200,A46,$B$2:$B$200,B46,$C$2:$C$200,C46)&gt;1,"Fout: dubbele inschrijving",IF(C46&lt;TODAY(),"Let op: ligt in het verleden, wordt geen dienst","OK"))))))))</f>
        <v/>
      </c>
    </row>
    <row r="47" spans="1:8" x14ac:dyDescent="0.25">
      <c r="A47" s="8"/>
      <c r="B47" s="5"/>
      <c r="C47" s="9"/>
      <c r="D47" s="9"/>
      <c r="E47" s="10"/>
      <c r="F47" s="7" t="str">
        <f>IF(B47="","",IFERROR(INDEX(Scholingen!$B$2:$B$200,MATCH(B47,Scholingen!$A$2:$A$200,0)),"?"))</f>
        <v/>
      </c>
      <c r="G47" s="11" t="str">
        <f t="shared" si="4"/>
        <v/>
      </c>
      <c r="H47" s="7" t="str">
        <f ca="1">IF(AND(A47="",B47="",C47="",D47=""),"",IF(OR(A47="",B47="",C47="",D47=""),"Fout: niet alle verplichte velden gevuld",IF(ISNA(MATCH(B47,Scholingen!$A$2:$A$200,0)),"Fout: C_ID bestaat niet in Scholingen",IF(OR(NOT(ISNUMBER(C47)),NOT(ISNUMBER(D47))),"Fout: begin-/eindtijd is geen datum+tijd",IF(D47&lt;=C47,"Fout: eindtijd ligt niet na begintijd",IF(INT(D47)&lt;&gt;INT(C47),"Fout: eindigt op een andere dag (één regel per dag)",IF(COUNTIFS($A$2:$A$200,A47,$B$2:$B$200,B47,$C$2:$C$200,C47)&gt;1,"Fout: dubbele inschrijving",IF(C47&lt;TODAY(),"Let op: ligt in het verleden, wordt geen dienst","OK"))))))))</f>
        <v/>
      </c>
    </row>
    <row r="48" spans="1:8" x14ac:dyDescent="0.25">
      <c r="A48" s="8"/>
      <c r="B48" s="5"/>
      <c r="C48" s="9"/>
      <c r="D48" s="9"/>
      <c r="E48" s="10"/>
      <c r="F48" s="7" t="str">
        <f>IF(B48="","",IFERROR(INDEX(Scholingen!$B$2:$B$200,MATCH(B48,Scholingen!$A$2:$A$200,0)),"?"))</f>
        <v/>
      </c>
      <c r="G48" s="11" t="str">
        <f t="shared" si="4"/>
        <v/>
      </c>
      <c r="H48" s="7" t="str">
        <f ca="1">IF(AND(A48="",B48="",C48="",D48=""),"",IF(OR(A48="",B48="",C48="",D48=""),"Fout: niet alle verplichte velden gevuld",IF(ISNA(MATCH(B48,Scholingen!$A$2:$A$200,0)),"Fout: C_ID bestaat niet in Scholingen",IF(OR(NOT(ISNUMBER(C48)),NOT(ISNUMBER(D48))),"Fout: begin-/eindtijd is geen datum+tijd",IF(D48&lt;=C48,"Fout: eindtijd ligt niet na begintijd",IF(INT(D48)&lt;&gt;INT(C48),"Fout: eindigt op een andere dag (één regel per dag)",IF(COUNTIFS($A$2:$A$200,A48,$B$2:$B$200,B48,$C$2:$C$200,C48)&gt;1,"Fout: dubbele inschrijving",IF(C48&lt;TODAY(),"Let op: ligt in het verleden, wordt geen dienst","OK"))))))))</f>
        <v/>
      </c>
    </row>
    <row r="49" spans="1:8" x14ac:dyDescent="0.25">
      <c r="A49" s="8"/>
      <c r="B49" s="5"/>
      <c r="C49" s="9"/>
      <c r="D49" s="9"/>
      <c r="E49" s="10"/>
      <c r="F49" s="7" t="str">
        <f>IF(B49="","",IFERROR(INDEX(Scholingen!$B$2:$B$200,MATCH(B49,Scholingen!$A$2:$A$200,0)),"?"))</f>
        <v/>
      </c>
      <c r="G49" s="11" t="str">
        <f t="shared" si="4"/>
        <v/>
      </c>
      <c r="H49" s="7" t="str">
        <f ca="1">IF(AND(A49="",B49="",C49="",D49=""),"",IF(OR(A49="",B49="",C49="",D49=""),"Fout: niet alle verplichte velden gevuld",IF(ISNA(MATCH(B49,Scholingen!$A$2:$A$200,0)),"Fout: C_ID bestaat niet in Scholingen",IF(OR(NOT(ISNUMBER(C49)),NOT(ISNUMBER(D49))),"Fout: begin-/eindtijd is geen datum+tijd",IF(D49&lt;=C49,"Fout: eindtijd ligt niet na begintijd",IF(INT(D49)&lt;&gt;INT(C49),"Fout: eindigt op een andere dag (één regel per dag)",IF(COUNTIFS($A$2:$A$200,A49,$B$2:$B$200,B49,$C$2:$C$200,C49)&gt;1,"Fout: dubbele inschrijving",IF(C49&lt;TODAY(),"Let op: ligt in het verleden, wordt geen dienst","OK"))))))))</f>
        <v/>
      </c>
    </row>
    <row r="50" spans="1:8" x14ac:dyDescent="0.25">
      <c r="A50" s="8"/>
      <c r="B50" s="5"/>
      <c r="C50" s="9"/>
      <c r="D50" s="9"/>
      <c r="E50" s="10"/>
      <c r="F50" s="7" t="str">
        <f>IF(B50="","",IFERROR(INDEX(Scholingen!$B$2:$B$200,MATCH(B50,Scholingen!$A$2:$A$200,0)),"?"))</f>
        <v/>
      </c>
      <c r="G50" s="11" t="str">
        <f t="shared" si="4"/>
        <v/>
      </c>
      <c r="H50" s="7" t="str">
        <f ca="1">IF(AND(A50="",B50="",C50="",D50=""),"",IF(OR(A50="",B50="",C50="",D50=""),"Fout: niet alle verplichte velden gevuld",IF(ISNA(MATCH(B50,Scholingen!$A$2:$A$200,0)),"Fout: C_ID bestaat niet in Scholingen",IF(OR(NOT(ISNUMBER(C50)),NOT(ISNUMBER(D50))),"Fout: begin-/eindtijd is geen datum+tijd",IF(D50&lt;=C50,"Fout: eindtijd ligt niet na begintijd",IF(INT(D50)&lt;&gt;INT(C50),"Fout: eindigt op een andere dag (één regel per dag)",IF(COUNTIFS($A$2:$A$200,A50,$B$2:$B$200,B50,$C$2:$C$200,C50)&gt;1,"Fout: dubbele inschrijving",IF(C50&lt;TODAY(),"Let op: ligt in het verleden, wordt geen dienst","OK"))))))))</f>
        <v/>
      </c>
    </row>
    <row r="51" spans="1:8" x14ac:dyDescent="0.25">
      <c r="A51" s="8"/>
      <c r="B51" s="5"/>
      <c r="C51" s="9"/>
      <c r="D51" s="9"/>
      <c r="E51" s="10"/>
      <c r="F51" s="7" t="str">
        <f>IF(B51="","",IFERROR(INDEX(Scholingen!$B$2:$B$200,MATCH(B51,Scholingen!$A$2:$A$200,0)),"?"))</f>
        <v/>
      </c>
      <c r="G51" s="11" t="str">
        <f t="shared" si="4"/>
        <v/>
      </c>
      <c r="H51" s="7" t="str">
        <f ca="1">IF(AND(A51="",B51="",C51="",D51=""),"",IF(OR(A51="",B51="",C51="",D51=""),"Fout: niet alle verplichte velden gevuld",IF(ISNA(MATCH(B51,Scholingen!$A$2:$A$200,0)),"Fout: C_ID bestaat niet in Scholingen",IF(OR(NOT(ISNUMBER(C51)),NOT(ISNUMBER(D51))),"Fout: begin-/eindtijd is geen datum+tijd",IF(D51&lt;=C51,"Fout: eindtijd ligt niet na begintijd",IF(INT(D51)&lt;&gt;INT(C51),"Fout: eindigt op een andere dag (één regel per dag)",IF(COUNTIFS($A$2:$A$200,A51,$B$2:$B$200,B51,$C$2:$C$200,C51)&gt;1,"Fout: dubbele inschrijving",IF(C51&lt;TODAY(),"Let op: ligt in het verleden, wordt geen dienst","OK"))))))))</f>
        <v/>
      </c>
    </row>
    <row r="52" spans="1:8" x14ac:dyDescent="0.25">
      <c r="A52" s="8"/>
      <c r="B52" s="5"/>
      <c r="C52" s="9"/>
      <c r="D52" s="9"/>
      <c r="E52" s="10"/>
      <c r="F52" s="7" t="str">
        <f>IF(B52="","",IFERROR(INDEX(Scholingen!$B$2:$B$200,MATCH(B52,Scholingen!$A$2:$A$200,0)),"?"))</f>
        <v/>
      </c>
      <c r="G52" s="11" t="str">
        <f t="shared" si="4"/>
        <v/>
      </c>
      <c r="H52" s="7" t="str">
        <f ca="1">IF(AND(A52="",B52="",C52="",D52=""),"",IF(OR(A52="",B52="",C52="",D52=""),"Fout: niet alle verplichte velden gevuld",IF(ISNA(MATCH(B52,Scholingen!$A$2:$A$200,0)),"Fout: C_ID bestaat niet in Scholingen",IF(OR(NOT(ISNUMBER(C52)),NOT(ISNUMBER(D52))),"Fout: begin-/eindtijd is geen datum+tijd",IF(D52&lt;=C52,"Fout: eindtijd ligt niet na begintijd",IF(INT(D52)&lt;&gt;INT(C52),"Fout: eindigt op een andere dag (één regel per dag)",IF(COUNTIFS($A$2:$A$200,A52,$B$2:$B$200,B52,$C$2:$C$200,C52)&gt;1,"Fout: dubbele inschrijving",IF(C52&lt;TODAY(),"Let op: ligt in het verleden, wordt geen dienst","OK"))))))))</f>
        <v/>
      </c>
    </row>
    <row r="53" spans="1:8" x14ac:dyDescent="0.25">
      <c r="A53" s="8"/>
      <c r="B53" s="5"/>
      <c r="C53" s="9"/>
      <c r="D53" s="9"/>
      <c r="E53" s="10"/>
      <c r="F53" s="7" t="str">
        <f>IF(B53="","",IFERROR(INDEX(Scholingen!$B$2:$B$200,MATCH(B53,Scholingen!$A$2:$A$200,0)),"?"))</f>
        <v/>
      </c>
      <c r="G53" s="11" t="str">
        <f t="shared" si="4"/>
        <v/>
      </c>
      <c r="H53" s="7" t="str">
        <f ca="1">IF(AND(A53="",B53="",C53="",D53=""),"",IF(OR(A53="",B53="",C53="",D53=""),"Fout: niet alle verplichte velden gevuld",IF(ISNA(MATCH(B53,Scholingen!$A$2:$A$200,0)),"Fout: C_ID bestaat niet in Scholingen",IF(OR(NOT(ISNUMBER(C53)),NOT(ISNUMBER(D53))),"Fout: begin-/eindtijd is geen datum+tijd",IF(D53&lt;=C53,"Fout: eindtijd ligt niet na begintijd",IF(INT(D53)&lt;&gt;INT(C53),"Fout: eindigt op een andere dag (één regel per dag)",IF(COUNTIFS($A$2:$A$200,A53,$B$2:$B$200,B53,$C$2:$C$200,C53)&gt;1,"Fout: dubbele inschrijving",IF(C53&lt;TODAY(),"Let op: ligt in het verleden, wordt geen dienst","OK"))))))))</f>
        <v/>
      </c>
    </row>
    <row r="54" spans="1:8" x14ac:dyDescent="0.25">
      <c r="A54" s="8"/>
      <c r="B54" s="5"/>
      <c r="C54" s="9"/>
      <c r="D54" s="9"/>
      <c r="E54" s="10"/>
      <c r="F54" s="7" t="str">
        <f>IF(B54="","",IFERROR(INDEX(Scholingen!$B$2:$B$200,MATCH(B54,Scholingen!$A$2:$A$200,0)),"?"))</f>
        <v/>
      </c>
      <c r="G54" s="11" t="str">
        <f t="shared" si="4"/>
        <v/>
      </c>
      <c r="H54" s="7" t="str">
        <f ca="1">IF(AND(A54="",B54="",C54="",D54=""),"",IF(OR(A54="",B54="",C54="",D54=""),"Fout: niet alle verplichte velden gevuld",IF(ISNA(MATCH(B54,Scholingen!$A$2:$A$200,0)),"Fout: C_ID bestaat niet in Scholingen",IF(OR(NOT(ISNUMBER(C54)),NOT(ISNUMBER(D54))),"Fout: begin-/eindtijd is geen datum+tijd",IF(D54&lt;=C54,"Fout: eindtijd ligt niet na begintijd",IF(INT(D54)&lt;&gt;INT(C54),"Fout: eindigt op een andere dag (één regel per dag)",IF(COUNTIFS($A$2:$A$200,A54,$B$2:$B$200,B54,$C$2:$C$200,C54)&gt;1,"Fout: dubbele inschrijving",IF(C54&lt;TODAY(),"Let op: ligt in het verleden, wordt geen dienst","OK"))))))))</f>
        <v/>
      </c>
    </row>
    <row r="55" spans="1:8" x14ac:dyDescent="0.25">
      <c r="A55" s="8"/>
      <c r="B55" s="5"/>
      <c r="C55" s="9"/>
      <c r="D55" s="9"/>
      <c r="E55" s="10"/>
      <c r="F55" s="7" t="str">
        <f>IF(B55="","",IFERROR(INDEX(Scholingen!$B$2:$B$200,MATCH(B55,Scholingen!$A$2:$A$200,0)),"?"))</f>
        <v/>
      </c>
      <c r="G55" s="11" t="str">
        <f t="shared" si="4"/>
        <v/>
      </c>
      <c r="H55" s="7" t="str">
        <f ca="1">IF(AND(A55="",B55="",C55="",D55=""),"",IF(OR(A55="",B55="",C55="",D55=""),"Fout: niet alle verplichte velden gevuld",IF(ISNA(MATCH(B55,Scholingen!$A$2:$A$200,0)),"Fout: C_ID bestaat niet in Scholingen",IF(OR(NOT(ISNUMBER(C55)),NOT(ISNUMBER(D55))),"Fout: begin-/eindtijd is geen datum+tijd",IF(D55&lt;=C55,"Fout: eindtijd ligt niet na begintijd",IF(INT(D55)&lt;&gt;INT(C55),"Fout: eindigt op een andere dag (één regel per dag)",IF(COUNTIFS($A$2:$A$200,A55,$B$2:$B$200,B55,$C$2:$C$200,C55)&gt;1,"Fout: dubbele inschrijving",IF(C55&lt;TODAY(),"Let op: ligt in het verleden, wordt geen dienst","OK"))))))))</f>
        <v/>
      </c>
    </row>
    <row r="56" spans="1:8" x14ac:dyDescent="0.25">
      <c r="A56" s="8"/>
      <c r="B56" s="5"/>
      <c r="C56" s="9"/>
      <c r="D56" s="9"/>
      <c r="E56" s="10"/>
      <c r="F56" s="7" t="str">
        <f>IF(B56="","",IFERROR(INDEX(Scholingen!$B$2:$B$200,MATCH(B56,Scholingen!$A$2:$A$200,0)),"?"))</f>
        <v/>
      </c>
      <c r="G56" s="11" t="str">
        <f t="shared" si="4"/>
        <v/>
      </c>
      <c r="H56" s="7" t="str">
        <f ca="1">IF(AND(A56="",B56="",C56="",D56=""),"",IF(OR(A56="",B56="",C56="",D56=""),"Fout: niet alle verplichte velden gevuld",IF(ISNA(MATCH(B56,Scholingen!$A$2:$A$200,0)),"Fout: C_ID bestaat niet in Scholingen",IF(OR(NOT(ISNUMBER(C56)),NOT(ISNUMBER(D56))),"Fout: begin-/eindtijd is geen datum+tijd",IF(D56&lt;=C56,"Fout: eindtijd ligt niet na begintijd",IF(INT(D56)&lt;&gt;INT(C56),"Fout: eindigt op een andere dag (één regel per dag)",IF(COUNTIFS($A$2:$A$200,A56,$B$2:$B$200,B56,$C$2:$C$200,C56)&gt;1,"Fout: dubbele inschrijving",IF(C56&lt;TODAY(),"Let op: ligt in het verleden, wordt geen dienst","OK"))))))))</f>
        <v/>
      </c>
    </row>
    <row r="57" spans="1:8" x14ac:dyDescent="0.25">
      <c r="A57" s="8"/>
      <c r="B57" s="5"/>
      <c r="C57" s="9"/>
      <c r="D57" s="9"/>
      <c r="E57" s="10"/>
      <c r="F57" s="7" t="str">
        <f>IF(B57="","",IFERROR(INDEX(Scholingen!$B$2:$B$200,MATCH(B57,Scholingen!$A$2:$A$200,0)),"?"))</f>
        <v/>
      </c>
      <c r="G57" s="11" t="str">
        <f t="shared" si="4"/>
        <v/>
      </c>
      <c r="H57" s="7" t="str">
        <f ca="1">IF(AND(A57="",B57="",C57="",D57=""),"",IF(OR(A57="",B57="",C57="",D57=""),"Fout: niet alle verplichte velden gevuld",IF(ISNA(MATCH(B57,Scholingen!$A$2:$A$200,0)),"Fout: C_ID bestaat niet in Scholingen",IF(OR(NOT(ISNUMBER(C57)),NOT(ISNUMBER(D57))),"Fout: begin-/eindtijd is geen datum+tijd",IF(D57&lt;=C57,"Fout: eindtijd ligt niet na begintijd",IF(INT(D57)&lt;&gt;INT(C57),"Fout: eindigt op een andere dag (één regel per dag)",IF(COUNTIFS($A$2:$A$200,A57,$B$2:$B$200,B57,$C$2:$C$200,C57)&gt;1,"Fout: dubbele inschrijving",IF(C57&lt;TODAY(),"Let op: ligt in het verleden, wordt geen dienst","OK"))))))))</f>
        <v/>
      </c>
    </row>
    <row r="58" spans="1:8" x14ac:dyDescent="0.25">
      <c r="A58" s="8"/>
      <c r="B58" s="5"/>
      <c r="C58" s="9"/>
      <c r="D58" s="9"/>
      <c r="E58" s="10"/>
      <c r="F58" s="7" t="str">
        <f>IF(B58="","",IFERROR(INDEX(Scholingen!$B$2:$B$200,MATCH(B58,Scholingen!$A$2:$A$200,0)),"?"))</f>
        <v/>
      </c>
      <c r="G58" s="11" t="str">
        <f t="shared" si="4"/>
        <v/>
      </c>
      <c r="H58" s="7" t="str">
        <f ca="1">IF(AND(A58="",B58="",C58="",D58=""),"",IF(OR(A58="",B58="",C58="",D58=""),"Fout: niet alle verplichte velden gevuld",IF(ISNA(MATCH(B58,Scholingen!$A$2:$A$200,0)),"Fout: C_ID bestaat niet in Scholingen",IF(OR(NOT(ISNUMBER(C58)),NOT(ISNUMBER(D58))),"Fout: begin-/eindtijd is geen datum+tijd",IF(D58&lt;=C58,"Fout: eindtijd ligt niet na begintijd",IF(INT(D58)&lt;&gt;INT(C58),"Fout: eindigt op een andere dag (één regel per dag)",IF(COUNTIFS($A$2:$A$200,A58,$B$2:$B$200,B58,$C$2:$C$200,C58)&gt;1,"Fout: dubbele inschrijving",IF(C58&lt;TODAY(),"Let op: ligt in het verleden, wordt geen dienst","OK"))))))))</f>
        <v/>
      </c>
    </row>
    <row r="59" spans="1:8" x14ac:dyDescent="0.25">
      <c r="A59" s="8"/>
      <c r="B59" s="5"/>
      <c r="C59" s="9"/>
      <c r="D59" s="9"/>
      <c r="E59" s="10"/>
      <c r="F59" s="7" t="str">
        <f>IF(B59="","",IFERROR(INDEX(Scholingen!$B$2:$B$200,MATCH(B59,Scholingen!$A$2:$A$200,0)),"?"))</f>
        <v/>
      </c>
      <c r="G59" s="11" t="str">
        <f t="shared" si="4"/>
        <v/>
      </c>
      <c r="H59" s="7" t="str">
        <f ca="1">IF(AND(A59="",B59="",C59="",D59=""),"",IF(OR(A59="",B59="",C59="",D59=""),"Fout: niet alle verplichte velden gevuld",IF(ISNA(MATCH(B59,Scholingen!$A$2:$A$200,0)),"Fout: C_ID bestaat niet in Scholingen",IF(OR(NOT(ISNUMBER(C59)),NOT(ISNUMBER(D59))),"Fout: begin-/eindtijd is geen datum+tijd",IF(D59&lt;=C59,"Fout: eindtijd ligt niet na begintijd",IF(INT(D59)&lt;&gt;INT(C59),"Fout: eindigt op een andere dag (één regel per dag)",IF(COUNTIFS($A$2:$A$200,A59,$B$2:$B$200,B59,$C$2:$C$200,C59)&gt;1,"Fout: dubbele inschrijving",IF(C59&lt;TODAY(),"Let op: ligt in het verleden, wordt geen dienst","OK"))))))))</f>
        <v/>
      </c>
    </row>
    <row r="60" spans="1:8" x14ac:dyDescent="0.25">
      <c r="A60" s="8"/>
      <c r="B60" s="5"/>
      <c r="C60" s="9"/>
      <c r="D60" s="9"/>
      <c r="E60" s="10"/>
      <c r="F60" s="7" t="str">
        <f>IF(B60="","",IFERROR(INDEX(Scholingen!$B$2:$B$200,MATCH(B60,Scholingen!$A$2:$A$200,0)),"?"))</f>
        <v/>
      </c>
      <c r="G60" s="11" t="str">
        <f t="shared" si="4"/>
        <v/>
      </c>
      <c r="H60" s="7" t="str">
        <f ca="1">IF(AND(A60="",B60="",C60="",D60=""),"",IF(OR(A60="",B60="",C60="",D60=""),"Fout: niet alle verplichte velden gevuld",IF(ISNA(MATCH(B60,Scholingen!$A$2:$A$200,0)),"Fout: C_ID bestaat niet in Scholingen",IF(OR(NOT(ISNUMBER(C60)),NOT(ISNUMBER(D60))),"Fout: begin-/eindtijd is geen datum+tijd",IF(D60&lt;=C60,"Fout: eindtijd ligt niet na begintijd",IF(INT(D60)&lt;&gt;INT(C60),"Fout: eindigt op een andere dag (één regel per dag)",IF(COUNTIFS($A$2:$A$200,A60,$B$2:$B$200,B60,$C$2:$C$200,C60)&gt;1,"Fout: dubbele inschrijving",IF(C60&lt;TODAY(),"Let op: ligt in het verleden, wordt geen dienst","OK"))))))))</f>
        <v/>
      </c>
    </row>
    <row r="61" spans="1:8" x14ac:dyDescent="0.25">
      <c r="A61" s="8"/>
      <c r="B61" s="5"/>
      <c r="C61" s="9"/>
      <c r="D61" s="9"/>
      <c r="E61" s="10"/>
      <c r="F61" s="7" t="str">
        <f>IF(B61="","",IFERROR(INDEX(Scholingen!$B$2:$B$200,MATCH(B61,Scholingen!$A$2:$A$200,0)),"?"))</f>
        <v/>
      </c>
      <c r="G61" s="11" t="str">
        <f t="shared" si="4"/>
        <v/>
      </c>
      <c r="H61" s="7" t="str">
        <f ca="1">IF(AND(A61="",B61="",C61="",D61=""),"",IF(OR(A61="",B61="",C61="",D61=""),"Fout: niet alle verplichte velden gevuld",IF(ISNA(MATCH(B61,Scholingen!$A$2:$A$200,0)),"Fout: C_ID bestaat niet in Scholingen",IF(OR(NOT(ISNUMBER(C61)),NOT(ISNUMBER(D61))),"Fout: begin-/eindtijd is geen datum+tijd",IF(D61&lt;=C61,"Fout: eindtijd ligt niet na begintijd",IF(INT(D61)&lt;&gt;INT(C61),"Fout: eindigt op een andere dag (één regel per dag)",IF(COUNTIFS($A$2:$A$200,A61,$B$2:$B$200,B61,$C$2:$C$200,C61)&gt;1,"Fout: dubbele inschrijving",IF(C61&lt;TODAY(),"Let op: ligt in het verleden, wordt geen dienst","OK"))))))))</f>
        <v/>
      </c>
    </row>
    <row r="62" spans="1:8" x14ac:dyDescent="0.25">
      <c r="A62" s="8"/>
      <c r="B62" s="5"/>
      <c r="C62" s="9"/>
      <c r="D62" s="9"/>
      <c r="E62" s="10"/>
      <c r="F62" s="7" t="str">
        <f>IF(B62="","",IFERROR(INDEX(Scholingen!$B$2:$B$200,MATCH(B62,Scholingen!$A$2:$A$200,0)),"?"))</f>
        <v/>
      </c>
      <c r="G62" s="11" t="str">
        <f t="shared" si="4"/>
        <v/>
      </c>
      <c r="H62" s="7" t="str">
        <f ca="1">IF(AND(A62="",B62="",C62="",D62=""),"",IF(OR(A62="",B62="",C62="",D62=""),"Fout: niet alle verplichte velden gevuld",IF(ISNA(MATCH(B62,Scholingen!$A$2:$A$200,0)),"Fout: C_ID bestaat niet in Scholingen",IF(OR(NOT(ISNUMBER(C62)),NOT(ISNUMBER(D62))),"Fout: begin-/eindtijd is geen datum+tijd",IF(D62&lt;=C62,"Fout: eindtijd ligt niet na begintijd",IF(INT(D62)&lt;&gt;INT(C62),"Fout: eindigt op een andere dag (één regel per dag)",IF(COUNTIFS($A$2:$A$200,A62,$B$2:$B$200,B62,$C$2:$C$200,C62)&gt;1,"Fout: dubbele inschrijving",IF(C62&lt;TODAY(),"Let op: ligt in het verleden, wordt geen dienst","OK"))))))))</f>
        <v/>
      </c>
    </row>
    <row r="63" spans="1:8" x14ac:dyDescent="0.25">
      <c r="A63" s="8"/>
      <c r="B63" s="5"/>
      <c r="C63" s="9"/>
      <c r="D63" s="9"/>
      <c r="E63" s="10"/>
      <c r="F63" s="7" t="str">
        <f>IF(B63="","",IFERROR(INDEX(Scholingen!$B$2:$B$200,MATCH(B63,Scholingen!$A$2:$A$200,0)),"?"))</f>
        <v/>
      </c>
      <c r="G63" s="11" t="str">
        <f t="shared" si="4"/>
        <v/>
      </c>
      <c r="H63" s="7" t="str">
        <f ca="1">IF(AND(A63="",B63="",C63="",D63=""),"",IF(OR(A63="",B63="",C63="",D63=""),"Fout: niet alle verplichte velden gevuld",IF(ISNA(MATCH(B63,Scholingen!$A$2:$A$200,0)),"Fout: C_ID bestaat niet in Scholingen",IF(OR(NOT(ISNUMBER(C63)),NOT(ISNUMBER(D63))),"Fout: begin-/eindtijd is geen datum+tijd",IF(D63&lt;=C63,"Fout: eindtijd ligt niet na begintijd",IF(INT(D63)&lt;&gt;INT(C63),"Fout: eindigt op een andere dag (één regel per dag)",IF(COUNTIFS($A$2:$A$200,A63,$B$2:$B$200,B63,$C$2:$C$200,C63)&gt;1,"Fout: dubbele inschrijving",IF(C63&lt;TODAY(),"Let op: ligt in het verleden, wordt geen dienst","OK"))))))))</f>
        <v/>
      </c>
    </row>
    <row r="64" spans="1:8" x14ac:dyDescent="0.25">
      <c r="A64" s="8"/>
      <c r="B64" s="5"/>
      <c r="C64" s="9"/>
      <c r="D64" s="9"/>
      <c r="E64" s="10"/>
      <c r="F64" s="7" t="str">
        <f>IF(B64="","",IFERROR(INDEX(Scholingen!$B$2:$B$200,MATCH(B64,Scholingen!$A$2:$A$200,0)),"?"))</f>
        <v/>
      </c>
      <c r="G64" s="11" t="str">
        <f t="shared" si="4"/>
        <v/>
      </c>
      <c r="H64" s="7" t="str">
        <f ca="1">IF(AND(A64="",B64="",C64="",D64=""),"",IF(OR(A64="",B64="",C64="",D64=""),"Fout: niet alle verplichte velden gevuld",IF(ISNA(MATCH(B64,Scholingen!$A$2:$A$200,0)),"Fout: C_ID bestaat niet in Scholingen",IF(OR(NOT(ISNUMBER(C64)),NOT(ISNUMBER(D64))),"Fout: begin-/eindtijd is geen datum+tijd",IF(D64&lt;=C64,"Fout: eindtijd ligt niet na begintijd",IF(INT(D64)&lt;&gt;INT(C64),"Fout: eindigt op een andere dag (één regel per dag)",IF(COUNTIFS($A$2:$A$200,A64,$B$2:$B$200,B64,$C$2:$C$200,C64)&gt;1,"Fout: dubbele inschrijving",IF(C64&lt;TODAY(),"Let op: ligt in het verleden, wordt geen dienst","OK"))))))))</f>
        <v/>
      </c>
    </row>
    <row r="65" spans="1:8" x14ac:dyDescent="0.25">
      <c r="A65" s="8"/>
      <c r="B65" s="5"/>
      <c r="C65" s="9"/>
      <c r="D65" s="9"/>
      <c r="E65" s="10"/>
      <c r="F65" s="7" t="str">
        <f>IF(B65="","",IFERROR(INDEX(Scholingen!$B$2:$B$200,MATCH(B65,Scholingen!$A$2:$A$200,0)),"?"))</f>
        <v/>
      </c>
      <c r="G65" s="11" t="str">
        <f t="shared" si="4"/>
        <v/>
      </c>
      <c r="H65" s="7" t="str">
        <f ca="1">IF(AND(A65="",B65="",C65="",D65=""),"",IF(OR(A65="",B65="",C65="",D65=""),"Fout: niet alle verplichte velden gevuld",IF(ISNA(MATCH(B65,Scholingen!$A$2:$A$200,0)),"Fout: C_ID bestaat niet in Scholingen",IF(OR(NOT(ISNUMBER(C65)),NOT(ISNUMBER(D65))),"Fout: begin-/eindtijd is geen datum+tijd",IF(D65&lt;=C65,"Fout: eindtijd ligt niet na begintijd",IF(INT(D65)&lt;&gt;INT(C65),"Fout: eindigt op een andere dag (één regel per dag)",IF(COUNTIFS($A$2:$A$200,A65,$B$2:$B$200,B65,$C$2:$C$200,C65)&gt;1,"Fout: dubbele inschrijving",IF(C65&lt;TODAY(),"Let op: ligt in het verleden, wordt geen dienst","OK"))))))))</f>
        <v/>
      </c>
    </row>
    <row r="66" spans="1:8" x14ac:dyDescent="0.25">
      <c r="A66" s="8"/>
      <c r="B66" s="5"/>
      <c r="C66" s="9"/>
      <c r="D66" s="9"/>
      <c r="E66" s="10"/>
      <c r="F66" s="7" t="str">
        <f>IF(B66="","",IFERROR(INDEX(Scholingen!$B$2:$B$200,MATCH(B66,Scholingen!$A$2:$A$200,0)),"?"))</f>
        <v/>
      </c>
      <c r="G66" s="11" t="str">
        <f t="shared" ref="G66:G97" si="5">IF(AND(ISNUMBER(C66),ISNUMBER(D66)),(D66-C66)*24,"")</f>
        <v/>
      </c>
      <c r="H66" s="7" t="str">
        <f ca="1">IF(AND(A66="",B66="",C66="",D66=""),"",IF(OR(A66="",B66="",C66="",D66=""),"Fout: niet alle verplichte velden gevuld",IF(ISNA(MATCH(B66,Scholingen!$A$2:$A$200,0)),"Fout: C_ID bestaat niet in Scholingen",IF(OR(NOT(ISNUMBER(C66)),NOT(ISNUMBER(D66))),"Fout: begin-/eindtijd is geen datum+tijd",IF(D66&lt;=C66,"Fout: eindtijd ligt niet na begintijd",IF(INT(D66)&lt;&gt;INT(C66),"Fout: eindigt op een andere dag (één regel per dag)",IF(COUNTIFS($A$2:$A$200,A66,$B$2:$B$200,B66,$C$2:$C$200,C66)&gt;1,"Fout: dubbele inschrijving",IF(C66&lt;TODAY(),"Let op: ligt in het verleden, wordt geen dienst","OK"))))))))</f>
        <v/>
      </c>
    </row>
    <row r="67" spans="1:8" x14ac:dyDescent="0.25">
      <c r="A67" s="8"/>
      <c r="B67" s="5"/>
      <c r="C67" s="9"/>
      <c r="D67" s="9"/>
      <c r="E67" s="10"/>
      <c r="F67" s="7" t="str">
        <f>IF(B67="","",IFERROR(INDEX(Scholingen!$B$2:$B$200,MATCH(B67,Scholingen!$A$2:$A$200,0)),"?"))</f>
        <v/>
      </c>
      <c r="G67" s="11" t="str">
        <f t="shared" si="5"/>
        <v/>
      </c>
      <c r="H67" s="7" t="str">
        <f ca="1">IF(AND(A67="",B67="",C67="",D67=""),"",IF(OR(A67="",B67="",C67="",D67=""),"Fout: niet alle verplichte velden gevuld",IF(ISNA(MATCH(B67,Scholingen!$A$2:$A$200,0)),"Fout: C_ID bestaat niet in Scholingen",IF(OR(NOT(ISNUMBER(C67)),NOT(ISNUMBER(D67))),"Fout: begin-/eindtijd is geen datum+tijd",IF(D67&lt;=C67,"Fout: eindtijd ligt niet na begintijd",IF(INT(D67)&lt;&gt;INT(C67),"Fout: eindigt op een andere dag (één regel per dag)",IF(COUNTIFS($A$2:$A$200,A67,$B$2:$B$200,B67,$C$2:$C$200,C67)&gt;1,"Fout: dubbele inschrijving",IF(C67&lt;TODAY(),"Let op: ligt in het verleden, wordt geen dienst","OK"))))))))</f>
        <v/>
      </c>
    </row>
    <row r="68" spans="1:8" x14ac:dyDescent="0.25">
      <c r="A68" s="8"/>
      <c r="B68" s="5"/>
      <c r="C68" s="9"/>
      <c r="D68" s="9"/>
      <c r="E68" s="10"/>
      <c r="F68" s="7" t="str">
        <f>IF(B68="","",IFERROR(INDEX(Scholingen!$B$2:$B$200,MATCH(B68,Scholingen!$A$2:$A$200,0)),"?"))</f>
        <v/>
      </c>
      <c r="G68" s="11" t="str">
        <f t="shared" si="5"/>
        <v/>
      </c>
      <c r="H68" s="7" t="str">
        <f ca="1">IF(AND(A68="",B68="",C68="",D68=""),"",IF(OR(A68="",B68="",C68="",D68=""),"Fout: niet alle verplichte velden gevuld",IF(ISNA(MATCH(B68,Scholingen!$A$2:$A$200,0)),"Fout: C_ID bestaat niet in Scholingen",IF(OR(NOT(ISNUMBER(C68)),NOT(ISNUMBER(D68))),"Fout: begin-/eindtijd is geen datum+tijd",IF(D68&lt;=C68,"Fout: eindtijd ligt niet na begintijd",IF(INT(D68)&lt;&gt;INT(C68),"Fout: eindigt op een andere dag (één regel per dag)",IF(COUNTIFS($A$2:$A$200,A68,$B$2:$B$200,B68,$C$2:$C$200,C68)&gt;1,"Fout: dubbele inschrijving",IF(C68&lt;TODAY(),"Let op: ligt in het verleden, wordt geen dienst","OK"))))))))</f>
        <v/>
      </c>
    </row>
    <row r="69" spans="1:8" x14ac:dyDescent="0.25">
      <c r="A69" s="8"/>
      <c r="B69" s="5"/>
      <c r="C69" s="9"/>
      <c r="D69" s="9"/>
      <c r="E69" s="10"/>
      <c r="F69" s="7" t="str">
        <f>IF(B69="","",IFERROR(INDEX(Scholingen!$B$2:$B$200,MATCH(B69,Scholingen!$A$2:$A$200,0)),"?"))</f>
        <v/>
      </c>
      <c r="G69" s="11" t="str">
        <f t="shared" si="5"/>
        <v/>
      </c>
      <c r="H69" s="7" t="str">
        <f ca="1">IF(AND(A69="",B69="",C69="",D69=""),"",IF(OR(A69="",B69="",C69="",D69=""),"Fout: niet alle verplichte velden gevuld",IF(ISNA(MATCH(B69,Scholingen!$A$2:$A$200,0)),"Fout: C_ID bestaat niet in Scholingen",IF(OR(NOT(ISNUMBER(C69)),NOT(ISNUMBER(D69))),"Fout: begin-/eindtijd is geen datum+tijd",IF(D69&lt;=C69,"Fout: eindtijd ligt niet na begintijd",IF(INT(D69)&lt;&gt;INT(C69),"Fout: eindigt op een andere dag (één regel per dag)",IF(COUNTIFS($A$2:$A$200,A69,$B$2:$B$200,B69,$C$2:$C$200,C69)&gt;1,"Fout: dubbele inschrijving",IF(C69&lt;TODAY(),"Let op: ligt in het verleden, wordt geen dienst","OK"))))))))</f>
        <v/>
      </c>
    </row>
    <row r="70" spans="1:8" x14ac:dyDescent="0.25">
      <c r="A70" s="8"/>
      <c r="B70" s="5"/>
      <c r="C70" s="9"/>
      <c r="D70" s="9"/>
      <c r="E70" s="10"/>
      <c r="F70" s="7" t="str">
        <f>IF(B70="","",IFERROR(INDEX(Scholingen!$B$2:$B$200,MATCH(B70,Scholingen!$A$2:$A$200,0)),"?"))</f>
        <v/>
      </c>
      <c r="G70" s="11" t="str">
        <f t="shared" si="5"/>
        <v/>
      </c>
      <c r="H70" s="7" t="str">
        <f ca="1">IF(AND(A70="",B70="",C70="",D70=""),"",IF(OR(A70="",B70="",C70="",D70=""),"Fout: niet alle verplichte velden gevuld",IF(ISNA(MATCH(B70,Scholingen!$A$2:$A$200,0)),"Fout: C_ID bestaat niet in Scholingen",IF(OR(NOT(ISNUMBER(C70)),NOT(ISNUMBER(D70))),"Fout: begin-/eindtijd is geen datum+tijd",IF(D70&lt;=C70,"Fout: eindtijd ligt niet na begintijd",IF(INT(D70)&lt;&gt;INT(C70),"Fout: eindigt op een andere dag (één regel per dag)",IF(COUNTIFS($A$2:$A$200,A70,$B$2:$B$200,B70,$C$2:$C$200,C70)&gt;1,"Fout: dubbele inschrijving",IF(C70&lt;TODAY(),"Let op: ligt in het verleden, wordt geen dienst","OK"))))))))</f>
        <v/>
      </c>
    </row>
    <row r="71" spans="1:8" x14ac:dyDescent="0.25">
      <c r="A71" s="8"/>
      <c r="B71" s="5"/>
      <c r="C71" s="9"/>
      <c r="D71" s="9"/>
      <c r="E71" s="10"/>
      <c r="F71" s="7" t="str">
        <f>IF(B71="","",IFERROR(INDEX(Scholingen!$B$2:$B$200,MATCH(B71,Scholingen!$A$2:$A$200,0)),"?"))</f>
        <v/>
      </c>
      <c r="G71" s="11" t="str">
        <f t="shared" si="5"/>
        <v/>
      </c>
      <c r="H71" s="7" t="str">
        <f ca="1">IF(AND(A71="",B71="",C71="",D71=""),"",IF(OR(A71="",B71="",C71="",D71=""),"Fout: niet alle verplichte velden gevuld",IF(ISNA(MATCH(B71,Scholingen!$A$2:$A$200,0)),"Fout: C_ID bestaat niet in Scholingen",IF(OR(NOT(ISNUMBER(C71)),NOT(ISNUMBER(D71))),"Fout: begin-/eindtijd is geen datum+tijd",IF(D71&lt;=C71,"Fout: eindtijd ligt niet na begintijd",IF(INT(D71)&lt;&gt;INT(C71),"Fout: eindigt op een andere dag (één regel per dag)",IF(COUNTIFS($A$2:$A$200,A71,$B$2:$B$200,B71,$C$2:$C$200,C71)&gt;1,"Fout: dubbele inschrijving",IF(C71&lt;TODAY(),"Let op: ligt in het verleden, wordt geen dienst","OK"))))))))</f>
        <v/>
      </c>
    </row>
    <row r="72" spans="1:8" x14ac:dyDescent="0.25">
      <c r="A72" s="8"/>
      <c r="B72" s="5"/>
      <c r="C72" s="9"/>
      <c r="D72" s="9"/>
      <c r="E72" s="10"/>
      <c r="F72" s="7" t="str">
        <f>IF(B72="","",IFERROR(INDEX(Scholingen!$B$2:$B$200,MATCH(B72,Scholingen!$A$2:$A$200,0)),"?"))</f>
        <v/>
      </c>
      <c r="G72" s="11" t="str">
        <f t="shared" si="5"/>
        <v/>
      </c>
      <c r="H72" s="7" t="str">
        <f ca="1">IF(AND(A72="",B72="",C72="",D72=""),"",IF(OR(A72="",B72="",C72="",D72=""),"Fout: niet alle verplichte velden gevuld",IF(ISNA(MATCH(B72,Scholingen!$A$2:$A$200,0)),"Fout: C_ID bestaat niet in Scholingen",IF(OR(NOT(ISNUMBER(C72)),NOT(ISNUMBER(D72))),"Fout: begin-/eindtijd is geen datum+tijd",IF(D72&lt;=C72,"Fout: eindtijd ligt niet na begintijd",IF(INT(D72)&lt;&gt;INT(C72),"Fout: eindigt op een andere dag (één regel per dag)",IF(COUNTIFS($A$2:$A$200,A72,$B$2:$B$200,B72,$C$2:$C$200,C72)&gt;1,"Fout: dubbele inschrijving",IF(C72&lt;TODAY(),"Let op: ligt in het verleden, wordt geen dienst","OK"))))))))</f>
        <v/>
      </c>
    </row>
    <row r="73" spans="1:8" x14ac:dyDescent="0.25">
      <c r="A73" s="8"/>
      <c r="B73" s="5"/>
      <c r="C73" s="9"/>
      <c r="D73" s="9"/>
      <c r="E73" s="10"/>
      <c r="F73" s="7" t="str">
        <f>IF(B73="","",IFERROR(INDEX(Scholingen!$B$2:$B$200,MATCH(B73,Scholingen!$A$2:$A$200,0)),"?"))</f>
        <v/>
      </c>
      <c r="G73" s="11" t="str">
        <f t="shared" si="5"/>
        <v/>
      </c>
      <c r="H73" s="7" t="str">
        <f ca="1">IF(AND(A73="",B73="",C73="",D73=""),"",IF(OR(A73="",B73="",C73="",D73=""),"Fout: niet alle verplichte velden gevuld",IF(ISNA(MATCH(B73,Scholingen!$A$2:$A$200,0)),"Fout: C_ID bestaat niet in Scholingen",IF(OR(NOT(ISNUMBER(C73)),NOT(ISNUMBER(D73))),"Fout: begin-/eindtijd is geen datum+tijd",IF(D73&lt;=C73,"Fout: eindtijd ligt niet na begintijd",IF(INT(D73)&lt;&gt;INT(C73),"Fout: eindigt op een andere dag (één regel per dag)",IF(COUNTIFS($A$2:$A$200,A73,$B$2:$B$200,B73,$C$2:$C$200,C73)&gt;1,"Fout: dubbele inschrijving",IF(C73&lt;TODAY(),"Let op: ligt in het verleden, wordt geen dienst","OK"))))))))</f>
        <v/>
      </c>
    </row>
    <row r="74" spans="1:8" x14ac:dyDescent="0.25">
      <c r="A74" s="8"/>
      <c r="B74" s="5"/>
      <c r="C74" s="9"/>
      <c r="D74" s="9"/>
      <c r="E74" s="10"/>
      <c r="F74" s="7" t="str">
        <f>IF(B74="","",IFERROR(INDEX(Scholingen!$B$2:$B$200,MATCH(B74,Scholingen!$A$2:$A$200,0)),"?"))</f>
        <v/>
      </c>
      <c r="G74" s="11" t="str">
        <f t="shared" si="5"/>
        <v/>
      </c>
      <c r="H74" s="7" t="str">
        <f ca="1">IF(AND(A74="",B74="",C74="",D74=""),"",IF(OR(A74="",B74="",C74="",D74=""),"Fout: niet alle verplichte velden gevuld",IF(ISNA(MATCH(B74,Scholingen!$A$2:$A$200,0)),"Fout: C_ID bestaat niet in Scholingen",IF(OR(NOT(ISNUMBER(C74)),NOT(ISNUMBER(D74))),"Fout: begin-/eindtijd is geen datum+tijd",IF(D74&lt;=C74,"Fout: eindtijd ligt niet na begintijd",IF(INT(D74)&lt;&gt;INT(C74),"Fout: eindigt op een andere dag (één regel per dag)",IF(COUNTIFS($A$2:$A$200,A74,$B$2:$B$200,B74,$C$2:$C$200,C74)&gt;1,"Fout: dubbele inschrijving",IF(C74&lt;TODAY(),"Let op: ligt in het verleden, wordt geen dienst","OK"))))))))</f>
        <v/>
      </c>
    </row>
    <row r="75" spans="1:8" x14ac:dyDescent="0.25">
      <c r="A75" s="8"/>
      <c r="B75" s="5"/>
      <c r="C75" s="9"/>
      <c r="D75" s="9"/>
      <c r="E75" s="10"/>
      <c r="F75" s="7" t="str">
        <f>IF(B75="","",IFERROR(INDEX(Scholingen!$B$2:$B$200,MATCH(B75,Scholingen!$A$2:$A$200,0)),"?"))</f>
        <v/>
      </c>
      <c r="G75" s="11" t="str">
        <f t="shared" si="5"/>
        <v/>
      </c>
      <c r="H75" s="7" t="str">
        <f ca="1">IF(AND(A75="",B75="",C75="",D75=""),"",IF(OR(A75="",B75="",C75="",D75=""),"Fout: niet alle verplichte velden gevuld",IF(ISNA(MATCH(B75,Scholingen!$A$2:$A$200,0)),"Fout: C_ID bestaat niet in Scholingen",IF(OR(NOT(ISNUMBER(C75)),NOT(ISNUMBER(D75))),"Fout: begin-/eindtijd is geen datum+tijd",IF(D75&lt;=C75,"Fout: eindtijd ligt niet na begintijd",IF(INT(D75)&lt;&gt;INT(C75),"Fout: eindigt op een andere dag (één regel per dag)",IF(COUNTIFS($A$2:$A$200,A75,$B$2:$B$200,B75,$C$2:$C$200,C75)&gt;1,"Fout: dubbele inschrijving",IF(C75&lt;TODAY(),"Let op: ligt in het verleden, wordt geen dienst","OK"))))))))</f>
        <v/>
      </c>
    </row>
    <row r="76" spans="1:8" x14ac:dyDescent="0.25">
      <c r="A76" s="8"/>
      <c r="B76" s="5"/>
      <c r="C76" s="9"/>
      <c r="D76" s="9"/>
      <c r="E76" s="10"/>
      <c r="F76" s="7" t="str">
        <f>IF(B76="","",IFERROR(INDEX(Scholingen!$B$2:$B$200,MATCH(B76,Scholingen!$A$2:$A$200,0)),"?"))</f>
        <v/>
      </c>
      <c r="G76" s="11" t="str">
        <f t="shared" si="5"/>
        <v/>
      </c>
      <c r="H76" s="7" t="str">
        <f ca="1">IF(AND(A76="",B76="",C76="",D76=""),"",IF(OR(A76="",B76="",C76="",D76=""),"Fout: niet alle verplichte velden gevuld",IF(ISNA(MATCH(B76,Scholingen!$A$2:$A$200,0)),"Fout: C_ID bestaat niet in Scholingen",IF(OR(NOT(ISNUMBER(C76)),NOT(ISNUMBER(D76))),"Fout: begin-/eindtijd is geen datum+tijd",IF(D76&lt;=C76,"Fout: eindtijd ligt niet na begintijd",IF(INT(D76)&lt;&gt;INT(C76),"Fout: eindigt op een andere dag (één regel per dag)",IF(COUNTIFS($A$2:$A$200,A76,$B$2:$B$200,B76,$C$2:$C$200,C76)&gt;1,"Fout: dubbele inschrijving",IF(C76&lt;TODAY(),"Let op: ligt in het verleden, wordt geen dienst","OK"))))))))</f>
        <v/>
      </c>
    </row>
    <row r="77" spans="1:8" x14ac:dyDescent="0.25">
      <c r="A77" s="8"/>
      <c r="B77" s="5"/>
      <c r="C77" s="9"/>
      <c r="D77" s="9"/>
      <c r="E77" s="10"/>
      <c r="F77" s="7" t="str">
        <f>IF(B77="","",IFERROR(INDEX(Scholingen!$B$2:$B$200,MATCH(B77,Scholingen!$A$2:$A$200,0)),"?"))</f>
        <v/>
      </c>
      <c r="G77" s="11" t="str">
        <f t="shared" si="5"/>
        <v/>
      </c>
      <c r="H77" s="7" t="str">
        <f ca="1">IF(AND(A77="",B77="",C77="",D77=""),"",IF(OR(A77="",B77="",C77="",D77=""),"Fout: niet alle verplichte velden gevuld",IF(ISNA(MATCH(B77,Scholingen!$A$2:$A$200,0)),"Fout: C_ID bestaat niet in Scholingen",IF(OR(NOT(ISNUMBER(C77)),NOT(ISNUMBER(D77))),"Fout: begin-/eindtijd is geen datum+tijd",IF(D77&lt;=C77,"Fout: eindtijd ligt niet na begintijd",IF(INT(D77)&lt;&gt;INT(C77),"Fout: eindigt op een andere dag (één regel per dag)",IF(COUNTIFS($A$2:$A$200,A77,$B$2:$B$200,B77,$C$2:$C$200,C77)&gt;1,"Fout: dubbele inschrijving",IF(C77&lt;TODAY(),"Let op: ligt in het verleden, wordt geen dienst","OK"))))))))</f>
        <v/>
      </c>
    </row>
    <row r="78" spans="1:8" x14ac:dyDescent="0.25">
      <c r="A78" s="8"/>
      <c r="B78" s="5"/>
      <c r="C78" s="9"/>
      <c r="D78" s="9"/>
      <c r="E78" s="10"/>
      <c r="F78" s="7" t="str">
        <f>IF(B78="","",IFERROR(INDEX(Scholingen!$B$2:$B$200,MATCH(B78,Scholingen!$A$2:$A$200,0)),"?"))</f>
        <v/>
      </c>
      <c r="G78" s="11" t="str">
        <f t="shared" si="5"/>
        <v/>
      </c>
      <c r="H78" s="7" t="str">
        <f ca="1">IF(AND(A78="",B78="",C78="",D78=""),"",IF(OR(A78="",B78="",C78="",D78=""),"Fout: niet alle verplichte velden gevuld",IF(ISNA(MATCH(B78,Scholingen!$A$2:$A$200,0)),"Fout: C_ID bestaat niet in Scholingen",IF(OR(NOT(ISNUMBER(C78)),NOT(ISNUMBER(D78))),"Fout: begin-/eindtijd is geen datum+tijd",IF(D78&lt;=C78,"Fout: eindtijd ligt niet na begintijd",IF(INT(D78)&lt;&gt;INT(C78),"Fout: eindigt op een andere dag (één regel per dag)",IF(COUNTIFS($A$2:$A$200,A78,$B$2:$B$200,B78,$C$2:$C$200,C78)&gt;1,"Fout: dubbele inschrijving",IF(C78&lt;TODAY(),"Let op: ligt in het verleden, wordt geen dienst","OK"))))))))</f>
        <v/>
      </c>
    </row>
    <row r="79" spans="1:8" x14ac:dyDescent="0.25">
      <c r="A79" s="8"/>
      <c r="B79" s="5"/>
      <c r="C79" s="9"/>
      <c r="D79" s="9"/>
      <c r="E79" s="10"/>
      <c r="F79" s="7" t="str">
        <f>IF(B79="","",IFERROR(INDEX(Scholingen!$B$2:$B$200,MATCH(B79,Scholingen!$A$2:$A$200,0)),"?"))</f>
        <v/>
      </c>
      <c r="G79" s="11" t="str">
        <f t="shared" si="5"/>
        <v/>
      </c>
      <c r="H79" s="7" t="str">
        <f ca="1">IF(AND(A79="",B79="",C79="",D79=""),"",IF(OR(A79="",B79="",C79="",D79=""),"Fout: niet alle verplichte velden gevuld",IF(ISNA(MATCH(B79,Scholingen!$A$2:$A$200,0)),"Fout: C_ID bestaat niet in Scholingen",IF(OR(NOT(ISNUMBER(C79)),NOT(ISNUMBER(D79))),"Fout: begin-/eindtijd is geen datum+tijd",IF(D79&lt;=C79,"Fout: eindtijd ligt niet na begintijd",IF(INT(D79)&lt;&gt;INT(C79),"Fout: eindigt op een andere dag (één regel per dag)",IF(COUNTIFS($A$2:$A$200,A79,$B$2:$B$200,B79,$C$2:$C$200,C79)&gt;1,"Fout: dubbele inschrijving",IF(C79&lt;TODAY(),"Let op: ligt in het verleden, wordt geen dienst","OK"))))))))</f>
        <v/>
      </c>
    </row>
    <row r="80" spans="1:8" x14ac:dyDescent="0.25">
      <c r="A80" s="8"/>
      <c r="B80" s="5"/>
      <c r="C80" s="9"/>
      <c r="D80" s="9"/>
      <c r="E80" s="10"/>
      <c r="F80" s="7" t="str">
        <f>IF(B80="","",IFERROR(INDEX(Scholingen!$B$2:$B$200,MATCH(B80,Scholingen!$A$2:$A$200,0)),"?"))</f>
        <v/>
      </c>
      <c r="G80" s="11" t="str">
        <f t="shared" si="5"/>
        <v/>
      </c>
      <c r="H80" s="7" t="str">
        <f ca="1">IF(AND(A80="",B80="",C80="",D80=""),"",IF(OR(A80="",B80="",C80="",D80=""),"Fout: niet alle verplichte velden gevuld",IF(ISNA(MATCH(B80,Scholingen!$A$2:$A$200,0)),"Fout: C_ID bestaat niet in Scholingen",IF(OR(NOT(ISNUMBER(C80)),NOT(ISNUMBER(D80))),"Fout: begin-/eindtijd is geen datum+tijd",IF(D80&lt;=C80,"Fout: eindtijd ligt niet na begintijd",IF(INT(D80)&lt;&gt;INT(C80),"Fout: eindigt op een andere dag (één regel per dag)",IF(COUNTIFS($A$2:$A$200,A80,$B$2:$B$200,B80,$C$2:$C$200,C80)&gt;1,"Fout: dubbele inschrijving",IF(C80&lt;TODAY(),"Let op: ligt in het verleden, wordt geen dienst","OK"))))))))</f>
        <v/>
      </c>
    </row>
    <row r="81" spans="1:8" x14ac:dyDescent="0.25">
      <c r="A81" s="8"/>
      <c r="B81" s="5"/>
      <c r="C81" s="9"/>
      <c r="D81" s="9"/>
      <c r="E81" s="10"/>
      <c r="F81" s="7" t="str">
        <f>IF(B81="","",IFERROR(INDEX(Scholingen!$B$2:$B$200,MATCH(B81,Scholingen!$A$2:$A$200,0)),"?"))</f>
        <v/>
      </c>
      <c r="G81" s="11" t="str">
        <f t="shared" si="5"/>
        <v/>
      </c>
      <c r="H81" s="7" t="str">
        <f ca="1">IF(AND(A81="",B81="",C81="",D81=""),"",IF(OR(A81="",B81="",C81="",D81=""),"Fout: niet alle verplichte velden gevuld",IF(ISNA(MATCH(B81,Scholingen!$A$2:$A$200,0)),"Fout: C_ID bestaat niet in Scholingen",IF(OR(NOT(ISNUMBER(C81)),NOT(ISNUMBER(D81))),"Fout: begin-/eindtijd is geen datum+tijd",IF(D81&lt;=C81,"Fout: eindtijd ligt niet na begintijd",IF(INT(D81)&lt;&gt;INT(C81),"Fout: eindigt op een andere dag (één regel per dag)",IF(COUNTIFS($A$2:$A$200,A81,$B$2:$B$200,B81,$C$2:$C$200,C81)&gt;1,"Fout: dubbele inschrijving",IF(C81&lt;TODAY(),"Let op: ligt in het verleden, wordt geen dienst","OK"))))))))</f>
        <v/>
      </c>
    </row>
    <row r="82" spans="1:8" x14ac:dyDescent="0.25">
      <c r="A82" s="8"/>
      <c r="B82" s="5"/>
      <c r="C82" s="9"/>
      <c r="D82" s="9"/>
      <c r="E82" s="10"/>
      <c r="F82" s="7" t="str">
        <f>IF(B82="","",IFERROR(INDEX(Scholingen!$B$2:$B$200,MATCH(B82,Scholingen!$A$2:$A$200,0)),"?"))</f>
        <v/>
      </c>
      <c r="G82" s="11" t="str">
        <f t="shared" si="5"/>
        <v/>
      </c>
      <c r="H82" s="7" t="str">
        <f ca="1">IF(AND(A82="",B82="",C82="",D82=""),"",IF(OR(A82="",B82="",C82="",D82=""),"Fout: niet alle verplichte velden gevuld",IF(ISNA(MATCH(B82,Scholingen!$A$2:$A$200,0)),"Fout: C_ID bestaat niet in Scholingen",IF(OR(NOT(ISNUMBER(C82)),NOT(ISNUMBER(D82))),"Fout: begin-/eindtijd is geen datum+tijd",IF(D82&lt;=C82,"Fout: eindtijd ligt niet na begintijd",IF(INT(D82)&lt;&gt;INT(C82),"Fout: eindigt op een andere dag (één regel per dag)",IF(COUNTIFS($A$2:$A$200,A82,$B$2:$B$200,B82,$C$2:$C$200,C82)&gt;1,"Fout: dubbele inschrijving",IF(C82&lt;TODAY(),"Let op: ligt in het verleden, wordt geen dienst","OK"))))))))</f>
        <v/>
      </c>
    </row>
    <row r="83" spans="1:8" x14ac:dyDescent="0.25">
      <c r="A83" s="8"/>
      <c r="B83" s="5"/>
      <c r="C83" s="9"/>
      <c r="D83" s="9"/>
      <c r="E83" s="10"/>
      <c r="F83" s="7" t="str">
        <f>IF(B83="","",IFERROR(INDEX(Scholingen!$B$2:$B$200,MATCH(B83,Scholingen!$A$2:$A$200,0)),"?"))</f>
        <v/>
      </c>
      <c r="G83" s="11" t="str">
        <f t="shared" si="5"/>
        <v/>
      </c>
      <c r="H83" s="7" t="str">
        <f ca="1">IF(AND(A83="",B83="",C83="",D83=""),"",IF(OR(A83="",B83="",C83="",D83=""),"Fout: niet alle verplichte velden gevuld",IF(ISNA(MATCH(B83,Scholingen!$A$2:$A$200,0)),"Fout: C_ID bestaat niet in Scholingen",IF(OR(NOT(ISNUMBER(C83)),NOT(ISNUMBER(D83))),"Fout: begin-/eindtijd is geen datum+tijd",IF(D83&lt;=C83,"Fout: eindtijd ligt niet na begintijd",IF(INT(D83)&lt;&gt;INT(C83),"Fout: eindigt op een andere dag (één regel per dag)",IF(COUNTIFS($A$2:$A$200,A83,$B$2:$B$200,B83,$C$2:$C$200,C83)&gt;1,"Fout: dubbele inschrijving",IF(C83&lt;TODAY(),"Let op: ligt in het verleden, wordt geen dienst","OK"))))))))</f>
        <v/>
      </c>
    </row>
    <row r="84" spans="1:8" x14ac:dyDescent="0.25">
      <c r="A84" s="8"/>
      <c r="B84" s="5"/>
      <c r="C84" s="9"/>
      <c r="D84" s="9"/>
      <c r="E84" s="10"/>
      <c r="F84" s="7" t="str">
        <f>IF(B84="","",IFERROR(INDEX(Scholingen!$B$2:$B$200,MATCH(B84,Scholingen!$A$2:$A$200,0)),"?"))</f>
        <v/>
      </c>
      <c r="G84" s="11" t="str">
        <f t="shared" si="5"/>
        <v/>
      </c>
      <c r="H84" s="7" t="str">
        <f ca="1">IF(AND(A84="",B84="",C84="",D84=""),"",IF(OR(A84="",B84="",C84="",D84=""),"Fout: niet alle verplichte velden gevuld",IF(ISNA(MATCH(B84,Scholingen!$A$2:$A$200,0)),"Fout: C_ID bestaat niet in Scholingen",IF(OR(NOT(ISNUMBER(C84)),NOT(ISNUMBER(D84))),"Fout: begin-/eindtijd is geen datum+tijd",IF(D84&lt;=C84,"Fout: eindtijd ligt niet na begintijd",IF(INT(D84)&lt;&gt;INT(C84),"Fout: eindigt op een andere dag (één regel per dag)",IF(COUNTIFS($A$2:$A$200,A84,$B$2:$B$200,B84,$C$2:$C$200,C84)&gt;1,"Fout: dubbele inschrijving",IF(C84&lt;TODAY(),"Let op: ligt in het verleden, wordt geen dienst","OK"))))))))</f>
        <v/>
      </c>
    </row>
    <row r="85" spans="1:8" x14ac:dyDescent="0.25">
      <c r="A85" s="8"/>
      <c r="B85" s="5"/>
      <c r="C85" s="9"/>
      <c r="D85" s="9"/>
      <c r="E85" s="10"/>
      <c r="F85" s="7" t="str">
        <f>IF(B85="","",IFERROR(INDEX(Scholingen!$B$2:$B$200,MATCH(B85,Scholingen!$A$2:$A$200,0)),"?"))</f>
        <v/>
      </c>
      <c r="G85" s="11" t="str">
        <f t="shared" si="5"/>
        <v/>
      </c>
      <c r="H85" s="7" t="str">
        <f ca="1">IF(AND(A85="",B85="",C85="",D85=""),"",IF(OR(A85="",B85="",C85="",D85=""),"Fout: niet alle verplichte velden gevuld",IF(ISNA(MATCH(B85,Scholingen!$A$2:$A$200,0)),"Fout: C_ID bestaat niet in Scholingen",IF(OR(NOT(ISNUMBER(C85)),NOT(ISNUMBER(D85))),"Fout: begin-/eindtijd is geen datum+tijd",IF(D85&lt;=C85,"Fout: eindtijd ligt niet na begintijd",IF(INT(D85)&lt;&gt;INT(C85),"Fout: eindigt op een andere dag (één regel per dag)",IF(COUNTIFS($A$2:$A$200,A85,$B$2:$B$200,B85,$C$2:$C$200,C85)&gt;1,"Fout: dubbele inschrijving",IF(C85&lt;TODAY(),"Let op: ligt in het verleden, wordt geen dienst","OK"))))))))</f>
        <v/>
      </c>
    </row>
    <row r="86" spans="1:8" x14ac:dyDescent="0.25">
      <c r="A86" s="8"/>
      <c r="B86" s="5"/>
      <c r="C86" s="9"/>
      <c r="D86" s="9"/>
      <c r="E86" s="10"/>
      <c r="F86" s="7" t="str">
        <f>IF(B86="","",IFERROR(INDEX(Scholingen!$B$2:$B$200,MATCH(B86,Scholingen!$A$2:$A$200,0)),"?"))</f>
        <v/>
      </c>
      <c r="G86" s="11" t="str">
        <f t="shared" si="5"/>
        <v/>
      </c>
      <c r="H86" s="7" t="str">
        <f ca="1">IF(AND(A86="",B86="",C86="",D86=""),"",IF(OR(A86="",B86="",C86="",D86=""),"Fout: niet alle verplichte velden gevuld",IF(ISNA(MATCH(B86,Scholingen!$A$2:$A$200,0)),"Fout: C_ID bestaat niet in Scholingen",IF(OR(NOT(ISNUMBER(C86)),NOT(ISNUMBER(D86))),"Fout: begin-/eindtijd is geen datum+tijd",IF(D86&lt;=C86,"Fout: eindtijd ligt niet na begintijd",IF(INT(D86)&lt;&gt;INT(C86),"Fout: eindigt op een andere dag (één regel per dag)",IF(COUNTIFS($A$2:$A$200,A86,$B$2:$B$200,B86,$C$2:$C$200,C86)&gt;1,"Fout: dubbele inschrijving",IF(C86&lt;TODAY(),"Let op: ligt in het verleden, wordt geen dienst","OK"))))))))</f>
        <v/>
      </c>
    </row>
    <row r="87" spans="1:8" x14ac:dyDescent="0.25">
      <c r="A87" s="8"/>
      <c r="B87" s="5"/>
      <c r="C87" s="9"/>
      <c r="D87" s="9"/>
      <c r="E87" s="10"/>
      <c r="F87" s="7" t="str">
        <f>IF(B87="","",IFERROR(INDEX(Scholingen!$B$2:$B$200,MATCH(B87,Scholingen!$A$2:$A$200,0)),"?"))</f>
        <v/>
      </c>
      <c r="G87" s="11" t="str">
        <f t="shared" si="5"/>
        <v/>
      </c>
      <c r="H87" s="7" t="str">
        <f ca="1">IF(AND(A87="",B87="",C87="",D87=""),"",IF(OR(A87="",B87="",C87="",D87=""),"Fout: niet alle verplichte velden gevuld",IF(ISNA(MATCH(B87,Scholingen!$A$2:$A$200,0)),"Fout: C_ID bestaat niet in Scholingen",IF(OR(NOT(ISNUMBER(C87)),NOT(ISNUMBER(D87))),"Fout: begin-/eindtijd is geen datum+tijd",IF(D87&lt;=C87,"Fout: eindtijd ligt niet na begintijd",IF(INT(D87)&lt;&gt;INT(C87),"Fout: eindigt op een andere dag (één regel per dag)",IF(COUNTIFS($A$2:$A$200,A87,$B$2:$B$200,B87,$C$2:$C$200,C87)&gt;1,"Fout: dubbele inschrijving",IF(C87&lt;TODAY(),"Let op: ligt in het verleden, wordt geen dienst","OK"))))))))</f>
        <v/>
      </c>
    </row>
    <row r="88" spans="1:8" x14ac:dyDescent="0.25">
      <c r="A88" s="8"/>
      <c r="B88" s="5"/>
      <c r="C88" s="9"/>
      <c r="D88" s="9"/>
      <c r="E88" s="10"/>
      <c r="F88" s="7" t="str">
        <f>IF(B88="","",IFERROR(INDEX(Scholingen!$B$2:$B$200,MATCH(B88,Scholingen!$A$2:$A$200,0)),"?"))</f>
        <v/>
      </c>
      <c r="G88" s="11" t="str">
        <f t="shared" si="5"/>
        <v/>
      </c>
      <c r="H88" s="7" t="str">
        <f ca="1">IF(AND(A88="",B88="",C88="",D88=""),"",IF(OR(A88="",B88="",C88="",D88=""),"Fout: niet alle verplichte velden gevuld",IF(ISNA(MATCH(B88,Scholingen!$A$2:$A$200,0)),"Fout: C_ID bestaat niet in Scholingen",IF(OR(NOT(ISNUMBER(C88)),NOT(ISNUMBER(D88))),"Fout: begin-/eindtijd is geen datum+tijd",IF(D88&lt;=C88,"Fout: eindtijd ligt niet na begintijd",IF(INT(D88)&lt;&gt;INT(C88),"Fout: eindigt op een andere dag (één regel per dag)",IF(COUNTIFS($A$2:$A$200,A88,$B$2:$B$200,B88,$C$2:$C$200,C88)&gt;1,"Fout: dubbele inschrijving",IF(C88&lt;TODAY(),"Let op: ligt in het verleden, wordt geen dienst","OK"))))))))</f>
        <v/>
      </c>
    </row>
    <row r="89" spans="1:8" x14ac:dyDescent="0.25">
      <c r="A89" s="8"/>
      <c r="B89" s="5"/>
      <c r="C89" s="9"/>
      <c r="D89" s="9"/>
      <c r="E89" s="10"/>
      <c r="F89" s="7" t="str">
        <f>IF(B89="","",IFERROR(INDEX(Scholingen!$B$2:$B$200,MATCH(B89,Scholingen!$A$2:$A$200,0)),"?"))</f>
        <v/>
      </c>
      <c r="G89" s="11" t="str">
        <f t="shared" si="5"/>
        <v/>
      </c>
      <c r="H89" s="7" t="str">
        <f ca="1">IF(AND(A89="",B89="",C89="",D89=""),"",IF(OR(A89="",B89="",C89="",D89=""),"Fout: niet alle verplichte velden gevuld",IF(ISNA(MATCH(B89,Scholingen!$A$2:$A$200,0)),"Fout: C_ID bestaat niet in Scholingen",IF(OR(NOT(ISNUMBER(C89)),NOT(ISNUMBER(D89))),"Fout: begin-/eindtijd is geen datum+tijd",IF(D89&lt;=C89,"Fout: eindtijd ligt niet na begintijd",IF(INT(D89)&lt;&gt;INT(C89),"Fout: eindigt op een andere dag (één regel per dag)",IF(COUNTIFS($A$2:$A$200,A89,$B$2:$B$200,B89,$C$2:$C$200,C89)&gt;1,"Fout: dubbele inschrijving",IF(C89&lt;TODAY(),"Let op: ligt in het verleden, wordt geen dienst","OK"))))))))</f>
        <v/>
      </c>
    </row>
    <row r="90" spans="1:8" x14ac:dyDescent="0.25">
      <c r="A90" s="8"/>
      <c r="B90" s="5"/>
      <c r="C90" s="9"/>
      <c r="D90" s="9"/>
      <c r="E90" s="10"/>
      <c r="F90" s="7" t="str">
        <f>IF(B90="","",IFERROR(INDEX(Scholingen!$B$2:$B$200,MATCH(B90,Scholingen!$A$2:$A$200,0)),"?"))</f>
        <v/>
      </c>
      <c r="G90" s="11" t="str">
        <f t="shared" si="5"/>
        <v/>
      </c>
      <c r="H90" s="7" t="str">
        <f ca="1">IF(AND(A90="",B90="",C90="",D90=""),"",IF(OR(A90="",B90="",C90="",D90=""),"Fout: niet alle verplichte velden gevuld",IF(ISNA(MATCH(B90,Scholingen!$A$2:$A$200,0)),"Fout: C_ID bestaat niet in Scholingen",IF(OR(NOT(ISNUMBER(C90)),NOT(ISNUMBER(D90))),"Fout: begin-/eindtijd is geen datum+tijd",IF(D90&lt;=C90,"Fout: eindtijd ligt niet na begintijd",IF(INT(D90)&lt;&gt;INT(C90),"Fout: eindigt op een andere dag (één regel per dag)",IF(COUNTIFS($A$2:$A$200,A90,$B$2:$B$200,B90,$C$2:$C$200,C90)&gt;1,"Fout: dubbele inschrijving",IF(C90&lt;TODAY(),"Let op: ligt in het verleden, wordt geen dienst","OK"))))))))</f>
        <v/>
      </c>
    </row>
    <row r="91" spans="1:8" x14ac:dyDescent="0.25">
      <c r="A91" s="8"/>
      <c r="B91" s="5"/>
      <c r="C91" s="9"/>
      <c r="D91" s="9"/>
      <c r="E91" s="10"/>
      <c r="F91" s="7" t="str">
        <f>IF(B91="","",IFERROR(INDEX(Scholingen!$B$2:$B$200,MATCH(B91,Scholingen!$A$2:$A$200,0)),"?"))</f>
        <v/>
      </c>
      <c r="G91" s="11" t="str">
        <f t="shared" si="5"/>
        <v/>
      </c>
      <c r="H91" s="7" t="str">
        <f ca="1">IF(AND(A91="",B91="",C91="",D91=""),"",IF(OR(A91="",B91="",C91="",D91=""),"Fout: niet alle verplichte velden gevuld",IF(ISNA(MATCH(B91,Scholingen!$A$2:$A$200,0)),"Fout: C_ID bestaat niet in Scholingen",IF(OR(NOT(ISNUMBER(C91)),NOT(ISNUMBER(D91))),"Fout: begin-/eindtijd is geen datum+tijd",IF(D91&lt;=C91,"Fout: eindtijd ligt niet na begintijd",IF(INT(D91)&lt;&gt;INT(C91),"Fout: eindigt op een andere dag (één regel per dag)",IF(COUNTIFS($A$2:$A$200,A91,$B$2:$B$200,B91,$C$2:$C$200,C91)&gt;1,"Fout: dubbele inschrijving",IF(C91&lt;TODAY(),"Let op: ligt in het verleden, wordt geen dienst","OK"))))))))</f>
        <v/>
      </c>
    </row>
    <row r="92" spans="1:8" x14ac:dyDescent="0.25">
      <c r="A92" s="8"/>
      <c r="B92" s="5"/>
      <c r="C92" s="9"/>
      <c r="D92" s="9"/>
      <c r="E92" s="10"/>
      <c r="F92" s="7" t="str">
        <f>IF(B92="","",IFERROR(INDEX(Scholingen!$B$2:$B$200,MATCH(B92,Scholingen!$A$2:$A$200,0)),"?"))</f>
        <v/>
      </c>
      <c r="G92" s="11" t="str">
        <f t="shared" si="5"/>
        <v/>
      </c>
      <c r="H92" s="7" t="str">
        <f ca="1">IF(AND(A92="",B92="",C92="",D92=""),"",IF(OR(A92="",B92="",C92="",D92=""),"Fout: niet alle verplichte velden gevuld",IF(ISNA(MATCH(B92,Scholingen!$A$2:$A$200,0)),"Fout: C_ID bestaat niet in Scholingen",IF(OR(NOT(ISNUMBER(C92)),NOT(ISNUMBER(D92))),"Fout: begin-/eindtijd is geen datum+tijd",IF(D92&lt;=C92,"Fout: eindtijd ligt niet na begintijd",IF(INT(D92)&lt;&gt;INT(C92),"Fout: eindigt op een andere dag (één regel per dag)",IF(COUNTIFS($A$2:$A$200,A92,$B$2:$B$200,B92,$C$2:$C$200,C92)&gt;1,"Fout: dubbele inschrijving",IF(C92&lt;TODAY(),"Let op: ligt in het verleden, wordt geen dienst","OK"))))))))</f>
        <v/>
      </c>
    </row>
    <row r="93" spans="1:8" x14ac:dyDescent="0.25">
      <c r="A93" s="8"/>
      <c r="B93" s="5"/>
      <c r="C93" s="9"/>
      <c r="D93" s="9"/>
      <c r="E93" s="10"/>
      <c r="F93" s="7" t="str">
        <f>IF(B93="","",IFERROR(INDEX(Scholingen!$B$2:$B$200,MATCH(B93,Scholingen!$A$2:$A$200,0)),"?"))</f>
        <v/>
      </c>
      <c r="G93" s="11" t="str">
        <f t="shared" si="5"/>
        <v/>
      </c>
      <c r="H93" s="7" t="str">
        <f ca="1">IF(AND(A93="",B93="",C93="",D93=""),"",IF(OR(A93="",B93="",C93="",D93=""),"Fout: niet alle verplichte velden gevuld",IF(ISNA(MATCH(B93,Scholingen!$A$2:$A$200,0)),"Fout: C_ID bestaat niet in Scholingen",IF(OR(NOT(ISNUMBER(C93)),NOT(ISNUMBER(D93))),"Fout: begin-/eindtijd is geen datum+tijd",IF(D93&lt;=C93,"Fout: eindtijd ligt niet na begintijd",IF(INT(D93)&lt;&gt;INT(C93),"Fout: eindigt op een andere dag (één regel per dag)",IF(COUNTIFS($A$2:$A$200,A93,$B$2:$B$200,B93,$C$2:$C$200,C93)&gt;1,"Fout: dubbele inschrijving",IF(C93&lt;TODAY(),"Let op: ligt in het verleden, wordt geen dienst","OK"))))))))</f>
        <v/>
      </c>
    </row>
    <row r="94" spans="1:8" x14ac:dyDescent="0.25">
      <c r="A94" s="8"/>
      <c r="B94" s="5"/>
      <c r="C94" s="9"/>
      <c r="D94" s="9"/>
      <c r="E94" s="10"/>
      <c r="F94" s="7" t="str">
        <f>IF(B94="","",IFERROR(INDEX(Scholingen!$B$2:$B$200,MATCH(B94,Scholingen!$A$2:$A$200,0)),"?"))</f>
        <v/>
      </c>
      <c r="G94" s="11" t="str">
        <f t="shared" si="5"/>
        <v/>
      </c>
      <c r="H94" s="7" t="str">
        <f ca="1">IF(AND(A94="",B94="",C94="",D94=""),"",IF(OR(A94="",B94="",C94="",D94=""),"Fout: niet alle verplichte velden gevuld",IF(ISNA(MATCH(B94,Scholingen!$A$2:$A$200,0)),"Fout: C_ID bestaat niet in Scholingen",IF(OR(NOT(ISNUMBER(C94)),NOT(ISNUMBER(D94))),"Fout: begin-/eindtijd is geen datum+tijd",IF(D94&lt;=C94,"Fout: eindtijd ligt niet na begintijd",IF(INT(D94)&lt;&gt;INT(C94),"Fout: eindigt op een andere dag (één regel per dag)",IF(COUNTIFS($A$2:$A$200,A94,$B$2:$B$200,B94,$C$2:$C$200,C94)&gt;1,"Fout: dubbele inschrijving",IF(C94&lt;TODAY(),"Let op: ligt in het verleden, wordt geen dienst","OK"))))))))</f>
        <v/>
      </c>
    </row>
    <row r="95" spans="1:8" x14ac:dyDescent="0.25">
      <c r="A95" s="8"/>
      <c r="B95" s="5"/>
      <c r="C95" s="9"/>
      <c r="D95" s="9"/>
      <c r="E95" s="10"/>
      <c r="F95" s="7" t="str">
        <f>IF(B95="","",IFERROR(INDEX(Scholingen!$B$2:$B$200,MATCH(B95,Scholingen!$A$2:$A$200,0)),"?"))</f>
        <v/>
      </c>
      <c r="G95" s="11" t="str">
        <f t="shared" si="5"/>
        <v/>
      </c>
      <c r="H95" s="7" t="str">
        <f ca="1">IF(AND(A95="",B95="",C95="",D95=""),"",IF(OR(A95="",B95="",C95="",D95=""),"Fout: niet alle verplichte velden gevuld",IF(ISNA(MATCH(B95,Scholingen!$A$2:$A$200,0)),"Fout: C_ID bestaat niet in Scholingen",IF(OR(NOT(ISNUMBER(C95)),NOT(ISNUMBER(D95))),"Fout: begin-/eindtijd is geen datum+tijd",IF(D95&lt;=C95,"Fout: eindtijd ligt niet na begintijd",IF(INT(D95)&lt;&gt;INT(C95),"Fout: eindigt op een andere dag (één regel per dag)",IF(COUNTIFS($A$2:$A$200,A95,$B$2:$B$200,B95,$C$2:$C$200,C95)&gt;1,"Fout: dubbele inschrijving",IF(C95&lt;TODAY(),"Let op: ligt in het verleden, wordt geen dienst","OK"))))))))</f>
        <v/>
      </c>
    </row>
    <row r="96" spans="1:8" x14ac:dyDescent="0.25">
      <c r="A96" s="8"/>
      <c r="B96" s="5"/>
      <c r="C96" s="9"/>
      <c r="D96" s="9"/>
      <c r="E96" s="10"/>
      <c r="F96" s="7" t="str">
        <f>IF(B96="","",IFERROR(INDEX(Scholingen!$B$2:$B$200,MATCH(B96,Scholingen!$A$2:$A$200,0)),"?"))</f>
        <v/>
      </c>
      <c r="G96" s="11" t="str">
        <f t="shared" si="5"/>
        <v/>
      </c>
      <c r="H96" s="7" t="str">
        <f ca="1">IF(AND(A96="",B96="",C96="",D96=""),"",IF(OR(A96="",B96="",C96="",D96=""),"Fout: niet alle verplichte velden gevuld",IF(ISNA(MATCH(B96,Scholingen!$A$2:$A$200,0)),"Fout: C_ID bestaat niet in Scholingen",IF(OR(NOT(ISNUMBER(C96)),NOT(ISNUMBER(D96))),"Fout: begin-/eindtijd is geen datum+tijd",IF(D96&lt;=C96,"Fout: eindtijd ligt niet na begintijd",IF(INT(D96)&lt;&gt;INT(C96),"Fout: eindigt op een andere dag (één regel per dag)",IF(COUNTIFS($A$2:$A$200,A96,$B$2:$B$200,B96,$C$2:$C$200,C96)&gt;1,"Fout: dubbele inschrijving",IF(C96&lt;TODAY(),"Let op: ligt in het verleden, wordt geen dienst","OK"))))))))</f>
        <v/>
      </c>
    </row>
    <row r="97" spans="1:8" x14ac:dyDescent="0.25">
      <c r="A97" s="8"/>
      <c r="B97" s="5"/>
      <c r="C97" s="9"/>
      <c r="D97" s="9"/>
      <c r="E97" s="10"/>
      <c r="F97" s="7" t="str">
        <f>IF(B97="","",IFERROR(INDEX(Scholingen!$B$2:$B$200,MATCH(B97,Scholingen!$A$2:$A$200,0)),"?"))</f>
        <v/>
      </c>
      <c r="G97" s="11" t="str">
        <f t="shared" si="5"/>
        <v/>
      </c>
      <c r="H97" s="7" t="str">
        <f ca="1">IF(AND(A97="",B97="",C97="",D97=""),"",IF(OR(A97="",B97="",C97="",D97=""),"Fout: niet alle verplichte velden gevuld",IF(ISNA(MATCH(B97,Scholingen!$A$2:$A$200,0)),"Fout: C_ID bestaat niet in Scholingen",IF(OR(NOT(ISNUMBER(C97)),NOT(ISNUMBER(D97))),"Fout: begin-/eindtijd is geen datum+tijd",IF(D97&lt;=C97,"Fout: eindtijd ligt niet na begintijd",IF(INT(D97)&lt;&gt;INT(C97),"Fout: eindigt op een andere dag (één regel per dag)",IF(COUNTIFS($A$2:$A$200,A97,$B$2:$B$200,B97,$C$2:$C$200,C97)&gt;1,"Fout: dubbele inschrijving",IF(C97&lt;TODAY(),"Let op: ligt in het verleden, wordt geen dienst","OK"))))))))</f>
        <v/>
      </c>
    </row>
    <row r="98" spans="1:8" x14ac:dyDescent="0.25">
      <c r="A98" s="8"/>
      <c r="B98" s="5"/>
      <c r="C98" s="9"/>
      <c r="D98" s="9"/>
      <c r="E98" s="10"/>
      <c r="F98" s="7" t="str">
        <f>IF(B98="","",IFERROR(INDEX(Scholingen!$B$2:$B$200,MATCH(B98,Scholingen!$A$2:$A$200,0)),"?"))</f>
        <v/>
      </c>
      <c r="G98" s="11" t="str">
        <f t="shared" ref="G98:G129" si="6">IF(AND(ISNUMBER(C98),ISNUMBER(D98)),(D98-C98)*24,"")</f>
        <v/>
      </c>
      <c r="H98" s="7" t="str">
        <f ca="1">IF(AND(A98="",B98="",C98="",D98=""),"",IF(OR(A98="",B98="",C98="",D98=""),"Fout: niet alle verplichte velden gevuld",IF(ISNA(MATCH(B98,Scholingen!$A$2:$A$200,0)),"Fout: C_ID bestaat niet in Scholingen",IF(OR(NOT(ISNUMBER(C98)),NOT(ISNUMBER(D98))),"Fout: begin-/eindtijd is geen datum+tijd",IF(D98&lt;=C98,"Fout: eindtijd ligt niet na begintijd",IF(INT(D98)&lt;&gt;INT(C98),"Fout: eindigt op een andere dag (één regel per dag)",IF(COUNTIFS($A$2:$A$200,A98,$B$2:$B$200,B98,$C$2:$C$200,C98)&gt;1,"Fout: dubbele inschrijving",IF(C98&lt;TODAY(),"Let op: ligt in het verleden, wordt geen dienst","OK"))))))))</f>
        <v/>
      </c>
    </row>
    <row r="99" spans="1:8" x14ac:dyDescent="0.25">
      <c r="A99" s="8"/>
      <c r="B99" s="5"/>
      <c r="C99" s="9"/>
      <c r="D99" s="9"/>
      <c r="E99" s="10"/>
      <c r="F99" s="7" t="str">
        <f>IF(B99="","",IFERROR(INDEX(Scholingen!$B$2:$B$200,MATCH(B99,Scholingen!$A$2:$A$200,0)),"?"))</f>
        <v/>
      </c>
      <c r="G99" s="11" t="str">
        <f t="shared" si="6"/>
        <v/>
      </c>
      <c r="H99" s="7" t="str">
        <f ca="1">IF(AND(A99="",B99="",C99="",D99=""),"",IF(OR(A99="",B99="",C99="",D99=""),"Fout: niet alle verplichte velden gevuld",IF(ISNA(MATCH(B99,Scholingen!$A$2:$A$200,0)),"Fout: C_ID bestaat niet in Scholingen",IF(OR(NOT(ISNUMBER(C99)),NOT(ISNUMBER(D99))),"Fout: begin-/eindtijd is geen datum+tijd",IF(D99&lt;=C99,"Fout: eindtijd ligt niet na begintijd",IF(INT(D99)&lt;&gt;INT(C99),"Fout: eindigt op een andere dag (één regel per dag)",IF(COUNTIFS($A$2:$A$200,A99,$B$2:$B$200,B99,$C$2:$C$200,C99)&gt;1,"Fout: dubbele inschrijving",IF(C99&lt;TODAY(),"Let op: ligt in het verleden, wordt geen dienst","OK"))))))))</f>
        <v/>
      </c>
    </row>
    <row r="100" spans="1:8" x14ac:dyDescent="0.25">
      <c r="A100" s="8"/>
      <c r="B100" s="5"/>
      <c r="C100" s="9"/>
      <c r="D100" s="9"/>
      <c r="E100" s="10"/>
      <c r="F100" s="7" t="str">
        <f>IF(B100="","",IFERROR(INDEX(Scholingen!$B$2:$B$200,MATCH(B100,Scholingen!$A$2:$A$200,0)),"?"))</f>
        <v/>
      </c>
      <c r="G100" s="11" t="str">
        <f t="shared" si="6"/>
        <v/>
      </c>
      <c r="H100" s="7" t="str">
        <f ca="1">IF(AND(A100="",B100="",C100="",D100=""),"",IF(OR(A100="",B100="",C100="",D100=""),"Fout: niet alle verplichte velden gevuld",IF(ISNA(MATCH(B100,Scholingen!$A$2:$A$200,0)),"Fout: C_ID bestaat niet in Scholingen",IF(OR(NOT(ISNUMBER(C100)),NOT(ISNUMBER(D100))),"Fout: begin-/eindtijd is geen datum+tijd",IF(D100&lt;=C100,"Fout: eindtijd ligt niet na begintijd",IF(INT(D100)&lt;&gt;INT(C100),"Fout: eindigt op een andere dag (één regel per dag)",IF(COUNTIFS($A$2:$A$200,A100,$B$2:$B$200,B100,$C$2:$C$200,C100)&gt;1,"Fout: dubbele inschrijving",IF(C100&lt;TODAY(),"Let op: ligt in het verleden, wordt geen dienst","OK"))))))))</f>
        <v/>
      </c>
    </row>
    <row r="101" spans="1:8" x14ac:dyDescent="0.25">
      <c r="A101" s="8"/>
      <c r="B101" s="5"/>
      <c r="C101" s="9"/>
      <c r="D101" s="9"/>
      <c r="E101" s="10"/>
      <c r="F101" s="7" t="str">
        <f>IF(B101="","",IFERROR(INDEX(Scholingen!$B$2:$B$200,MATCH(B101,Scholingen!$A$2:$A$200,0)),"?"))</f>
        <v/>
      </c>
      <c r="G101" s="11" t="str">
        <f t="shared" si="6"/>
        <v/>
      </c>
      <c r="H101" s="7" t="str">
        <f ca="1">IF(AND(A101="",B101="",C101="",D101=""),"",IF(OR(A101="",B101="",C101="",D101=""),"Fout: niet alle verplichte velden gevuld",IF(ISNA(MATCH(B101,Scholingen!$A$2:$A$200,0)),"Fout: C_ID bestaat niet in Scholingen",IF(OR(NOT(ISNUMBER(C101)),NOT(ISNUMBER(D101))),"Fout: begin-/eindtijd is geen datum+tijd",IF(D101&lt;=C101,"Fout: eindtijd ligt niet na begintijd",IF(INT(D101)&lt;&gt;INT(C101),"Fout: eindigt op een andere dag (één regel per dag)",IF(COUNTIFS($A$2:$A$200,A101,$B$2:$B$200,B101,$C$2:$C$200,C101)&gt;1,"Fout: dubbele inschrijving",IF(C101&lt;TODAY(),"Let op: ligt in het verleden, wordt geen dienst","OK"))))))))</f>
        <v/>
      </c>
    </row>
    <row r="102" spans="1:8" x14ac:dyDescent="0.25">
      <c r="A102" s="8"/>
      <c r="B102" s="5"/>
      <c r="C102" s="9"/>
      <c r="D102" s="9"/>
      <c r="E102" s="10"/>
      <c r="F102" s="7" t="str">
        <f>IF(B102="","",IFERROR(INDEX(Scholingen!$B$2:$B$200,MATCH(B102,Scholingen!$A$2:$A$200,0)),"?"))</f>
        <v/>
      </c>
      <c r="G102" s="11" t="str">
        <f t="shared" si="6"/>
        <v/>
      </c>
      <c r="H102" s="7" t="str">
        <f ca="1">IF(AND(A102="",B102="",C102="",D102=""),"",IF(OR(A102="",B102="",C102="",D102=""),"Fout: niet alle verplichte velden gevuld",IF(ISNA(MATCH(B102,Scholingen!$A$2:$A$200,0)),"Fout: C_ID bestaat niet in Scholingen",IF(OR(NOT(ISNUMBER(C102)),NOT(ISNUMBER(D102))),"Fout: begin-/eindtijd is geen datum+tijd",IF(D102&lt;=C102,"Fout: eindtijd ligt niet na begintijd",IF(INT(D102)&lt;&gt;INT(C102),"Fout: eindigt op een andere dag (één regel per dag)",IF(COUNTIFS($A$2:$A$200,A102,$B$2:$B$200,B102,$C$2:$C$200,C102)&gt;1,"Fout: dubbele inschrijving",IF(C102&lt;TODAY(),"Let op: ligt in het verleden, wordt geen dienst","OK"))))))))</f>
        <v/>
      </c>
    </row>
    <row r="103" spans="1:8" x14ac:dyDescent="0.25">
      <c r="A103" s="8"/>
      <c r="B103" s="5"/>
      <c r="C103" s="9"/>
      <c r="D103" s="9"/>
      <c r="E103" s="10"/>
      <c r="F103" s="7" t="str">
        <f>IF(B103="","",IFERROR(INDEX(Scholingen!$B$2:$B$200,MATCH(B103,Scholingen!$A$2:$A$200,0)),"?"))</f>
        <v/>
      </c>
      <c r="G103" s="11" t="str">
        <f t="shared" si="6"/>
        <v/>
      </c>
      <c r="H103" s="7" t="str">
        <f ca="1">IF(AND(A103="",B103="",C103="",D103=""),"",IF(OR(A103="",B103="",C103="",D103=""),"Fout: niet alle verplichte velden gevuld",IF(ISNA(MATCH(B103,Scholingen!$A$2:$A$200,0)),"Fout: C_ID bestaat niet in Scholingen",IF(OR(NOT(ISNUMBER(C103)),NOT(ISNUMBER(D103))),"Fout: begin-/eindtijd is geen datum+tijd",IF(D103&lt;=C103,"Fout: eindtijd ligt niet na begintijd",IF(INT(D103)&lt;&gt;INT(C103),"Fout: eindigt op een andere dag (één regel per dag)",IF(COUNTIFS($A$2:$A$200,A103,$B$2:$B$200,B103,$C$2:$C$200,C103)&gt;1,"Fout: dubbele inschrijving",IF(C103&lt;TODAY(),"Let op: ligt in het verleden, wordt geen dienst","OK"))))))))</f>
        <v/>
      </c>
    </row>
    <row r="104" spans="1:8" x14ac:dyDescent="0.25">
      <c r="A104" s="8"/>
      <c r="B104" s="5"/>
      <c r="C104" s="9"/>
      <c r="D104" s="9"/>
      <c r="E104" s="10"/>
      <c r="F104" s="7" t="str">
        <f>IF(B104="","",IFERROR(INDEX(Scholingen!$B$2:$B$200,MATCH(B104,Scholingen!$A$2:$A$200,0)),"?"))</f>
        <v/>
      </c>
      <c r="G104" s="11" t="str">
        <f t="shared" si="6"/>
        <v/>
      </c>
      <c r="H104" s="7" t="str">
        <f ca="1">IF(AND(A104="",B104="",C104="",D104=""),"",IF(OR(A104="",B104="",C104="",D104=""),"Fout: niet alle verplichte velden gevuld",IF(ISNA(MATCH(B104,Scholingen!$A$2:$A$200,0)),"Fout: C_ID bestaat niet in Scholingen",IF(OR(NOT(ISNUMBER(C104)),NOT(ISNUMBER(D104))),"Fout: begin-/eindtijd is geen datum+tijd",IF(D104&lt;=C104,"Fout: eindtijd ligt niet na begintijd",IF(INT(D104)&lt;&gt;INT(C104),"Fout: eindigt op een andere dag (één regel per dag)",IF(COUNTIFS($A$2:$A$200,A104,$B$2:$B$200,B104,$C$2:$C$200,C104)&gt;1,"Fout: dubbele inschrijving",IF(C104&lt;TODAY(),"Let op: ligt in het verleden, wordt geen dienst","OK"))))))))</f>
        <v/>
      </c>
    </row>
    <row r="105" spans="1:8" x14ac:dyDescent="0.25">
      <c r="A105" s="8"/>
      <c r="B105" s="5"/>
      <c r="C105" s="9"/>
      <c r="D105" s="9"/>
      <c r="E105" s="10"/>
      <c r="F105" s="7" t="str">
        <f>IF(B105="","",IFERROR(INDEX(Scholingen!$B$2:$B$200,MATCH(B105,Scholingen!$A$2:$A$200,0)),"?"))</f>
        <v/>
      </c>
      <c r="G105" s="11" t="str">
        <f t="shared" si="6"/>
        <v/>
      </c>
      <c r="H105" s="7" t="str">
        <f ca="1">IF(AND(A105="",B105="",C105="",D105=""),"",IF(OR(A105="",B105="",C105="",D105=""),"Fout: niet alle verplichte velden gevuld",IF(ISNA(MATCH(B105,Scholingen!$A$2:$A$200,0)),"Fout: C_ID bestaat niet in Scholingen",IF(OR(NOT(ISNUMBER(C105)),NOT(ISNUMBER(D105))),"Fout: begin-/eindtijd is geen datum+tijd",IF(D105&lt;=C105,"Fout: eindtijd ligt niet na begintijd",IF(INT(D105)&lt;&gt;INT(C105),"Fout: eindigt op een andere dag (één regel per dag)",IF(COUNTIFS($A$2:$A$200,A105,$B$2:$B$200,B105,$C$2:$C$200,C105)&gt;1,"Fout: dubbele inschrijving",IF(C105&lt;TODAY(),"Let op: ligt in het verleden, wordt geen dienst","OK"))))))))</f>
        <v/>
      </c>
    </row>
    <row r="106" spans="1:8" x14ac:dyDescent="0.25">
      <c r="A106" s="8"/>
      <c r="B106" s="5"/>
      <c r="C106" s="9"/>
      <c r="D106" s="9"/>
      <c r="E106" s="10"/>
      <c r="F106" s="7" t="str">
        <f>IF(B106="","",IFERROR(INDEX(Scholingen!$B$2:$B$200,MATCH(B106,Scholingen!$A$2:$A$200,0)),"?"))</f>
        <v/>
      </c>
      <c r="G106" s="11" t="str">
        <f t="shared" si="6"/>
        <v/>
      </c>
      <c r="H106" s="7" t="str">
        <f ca="1">IF(AND(A106="",B106="",C106="",D106=""),"",IF(OR(A106="",B106="",C106="",D106=""),"Fout: niet alle verplichte velden gevuld",IF(ISNA(MATCH(B106,Scholingen!$A$2:$A$200,0)),"Fout: C_ID bestaat niet in Scholingen",IF(OR(NOT(ISNUMBER(C106)),NOT(ISNUMBER(D106))),"Fout: begin-/eindtijd is geen datum+tijd",IF(D106&lt;=C106,"Fout: eindtijd ligt niet na begintijd",IF(INT(D106)&lt;&gt;INT(C106),"Fout: eindigt op een andere dag (één regel per dag)",IF(COUNTIFS($A$2:$A$200,A106,$B$2:$B$200,B106,$C$2:$C$200,C106)&gt;1,"Fout: dubbele inschrijving",IF(C106&lt;TODAY(),"Let op: ligt in het verleden, wordt geen dienst","OK"))))))))</f>
        <v/>
      </c>
    </row>
    <row r="107" spans="1:8" x14ac:dyDescent="0.25">
      <c r="A107" s="8"/>
      <c r="B107" s="5"/>
      <c r="C107" s="9"/>
      <c r="D107" s="9"/>
      <c r="E107" s="10"/>
      <c r="F107" s="7" t="str">
        <f>IF(B107="","",IFERROR(INDEX(Scholingen!$B$2:$B$200,MATCH(B107,Scholingen!$A$2:$A$200,0)),"?"))</f>
        <v/>
      </c>
      <c r="G107" s="11" t="str">
        <f t="shared" si="6"/>
        <v/>
      </c>
      <c r="H107" s="7" t="str">
        <f ca="1">IF(AND(A107="",B107="",C107="",D107=""),"",IF(OR(A107="",B107="",C107="",D107=""),"Fout: niet alle verplichte velden gevuld",IF(ISNA(MATCH(B107,Scholingen!$A$2:$A$200,0)),"Fout: C_ID bestaat niet in Scholingen",IF(OR(NOT(ISNUMBER(C107)),NOT(ISNUMBER(D107))),"Fout: begin-/eindtijd is geen datum+tijd",IF(D107&lt;=C107,"Fout: eindtijd ligt niet na begintijd",IF(INT(D107)&lt;&gt;INT(C107),"Fout: eindigt op een andere dag (één regel per dag)",IF(COUNTIFS($A$2:$A$200,A107,$B$2:$B$200,B107,$C$2:$C$200,C107)&gt;1,"Fout: dubbele inschrijving",IF(C107&lt;TODAY(),"Let op: ligt in het verleden, wordt geen dienst","OK"))))))))</f>
        <v/>
      </c>
    </row>
    <row r="108" spans="1:8" x14ac:dyDescent="0.25">
      <c r="A108" s="8"/>
      <c r="B108" s="5"/>
      <c r="C108" s="9"/>
      <c r="D108" s="9"/>
      <c r="E108" s="10"/>
      <c r="F108" s="7" t="str">
        <f>IF(B108="","",IFERROR(INDEX(Scholingen!$B$2:$B$200,MATCH(B108,Scholingen!$A$2:$A$200,0)),"?"))</f>
        <v/>
      </c>
      <c r="G108" s="11" t="str">
        <f t="shared" si="6"/>
        <v/>
      </c>
      <c r="H108" s="7" t="str">
        <f ca="1">IF(AND(A108="",B108="",C108="",D108=""),"",IF(OR(A108="",B108="",C108="",D108=""),"Fout: niet alle verplichte velden gevuld",IF(ISNA(MATCH(B108,Scholingen!$A$2:$A$200,0)),"Fout: C_ID bestaat niet in Scholingen",IF(OR(NOT(ISNUMBER(C108)),NOT(ISNUMBER(D108))),"Fout: begin-/eindtijd is geen datum+tijd",IF(D108&lt;=C108,"Fout: eindtijd ligt niet na begintijd",IF(INT(D108)&lt;&gt;INT(C108),"Fout: eindigt op een andere dag (één regel per dag)",IF(COUNTIFS($A$2:$A$200,A108,$B$2:$B$200,B108,$C$2:$C$200,C108)&gt;1,"Fout: dubbele inschrijving",IF(C108&lt;TODAY(),"Let op: ligt in het verleden, wordt geen dienst","OK"))))))))</f>
        <v/>
      </c>
    </row>
    <row r="109" spans="1:8" x14ac:dyDescent="0.25">
      <c r="A109" s="8"/>
      <c r="B109" s="5"/>
      <c r="C109" s="9"/>
      <c r="D109" s="9"/>
      <c r="E109" s="10"/>
      <c r="F109" s="7" t="str">
        <f>IF(B109="","",IFERROR(INDEX(Scholingen!$B$2:$B$200,MATCH(B109,Scholingen!$A$2:$A$200,0)),"?"))</f>
        <v/>
      </c>
      <c r="G109" s="11" t="str">
        <f t="shared" si="6"/>
        <v/>
      </c>
      <c r="H109" s="7" t="str">
        <f ca="1">IF(AND(A109="",B109="",C109="",D109=""),"",IF(OR(A109="",B109="",C109="",D109=""),"Fout: niet alle verplichte velden gevuld",IF(ISNA(MATCH(B109,Scholingen!$A$2:$A$200,0)),"Fout: C_ID bestaat niet in Scholingen",IF(OR(NOT(ISNUMBER(C109)),NOT(ISNUMBER(D109))),"Fout: begin-/eindtijd is geen datum+tijd",IF(D109&lt;=C109,"Fout: eindtijd ligt niet na begintijd",IF(INT(D109)&lt;&gt;INT(C109),"Fout: eindigt op een andere dag (één regel per dag)",IF(COUNTIFS($A$2:$A$200,A109,$B$2:$B$200,B109,$C$2:$C$200,C109)&gt;1,"Fout: dubbele inschrijving",IF(C109&lt;TODAY(),"Let op: ligt in het verleden, wordt geen dienst","OK"))))))))</f>
        <v/>
      </c>
    </row>
    <row r="110" spans="1:8" x14ac:dyDescent="0.25">
      <c r="A110" s="8"/>
      <c r="B110" s="5"/>
      <c r="C110" s="9"/>
      <c r="D110" s="9"/>
      <c r="E110" s="10"/>
      <c r="F110" s="7" t="str">
        <f>IF(B110="","",IFERROR(INDEX(Scholingen!$B$2:$B$200,MATCH(B110,Scholingen!$A$2:$A$200,0)),"?"))</f>
        <v/>
      </c>
      <c r="G110" s="11" t="str">
        <f t="shared" si="6"/>
        <v/>
      </c>
      <c r="H110" s="7" t="str">
        <f ca="1">IF(AND(A110="",B110="",C110="",D110=""),"",IF(OR(A110="",B110="",C110="",D110=""),"Fout: niet alle verplichte velden gevuld",IF(ISNA(MATCH(B110,Scholingen!$A$2:$A$200,0)),"Fout: C_ID bestaat niet in Scholingen",IF(OR(NOT(ISNUMBER(C110)),NOT(ISNUMBER(D110))),"Fout: begin-/eindtijd is geen datum+tijd",IF(D110&lt;=C110,"Fout: eindtijd ligt niet na begintijd",IF(INT(D110)&lt;&gt;INT(C110),"Fout: eindigt op een andere dag (één regel per dag)",IF(COUNTIFS($A$2:$A$200,A110,$B$2:$B$200,B110,$C$2:$C$200,C110)&gt;1,"Fout: dubbele inschrijving",IF(C110&lt;TODAY(),"Let op: ligt in het verleden, wordt geen dienst","OK"))))))))</f>
        <v/>
      </c>
    </row>
    <row r="111" spans="1:8" x14ac:dyDescent="0.25">
      <c r="A111" s="8"/>
      <c r="B111" s="5"/>
      <c r="C111" s="9"/>
      <c r="D111" s="9"/>
      <c r="E111" s="10"/>
      <c r="F111" s="7" t="str">
        <f>IF(B111="","",IFERROR(INDEX(Scholingen!$B$2:$B$200,MATCH(B111,Scholingen!$A$2:$A$200,0)),"?"))</f>
        <v/>
      </c>
      <c r="G111" s="11" t="str">
        <f t="shared" si="6"/>
        <v/>
      </c>
      <c r="H111" s="7" t="str">
        <f ca="1">IF(AND(A111="",B111="",C111="",D111=""),"",IF(OR(A111="",B111="",C111="",D111=""),"Fout: niet alle verplichte velden gevuld",IF(ISNA(MATCH(B111,Scholingen!$A$2:$A$200,0)),"Fout: C_ID bestaat niet in Scholingen",IF(OR(NOT(ISNUMBER(C111)),NOT(ISNUMBER(D111))),"Fout: begin-/eindtijd is geen datum+tijd",IF(D111&lt;=C111,"Fout: eindtijd ligt niet na begintijd",IF(INT(D111)&lt;&gt;INT(C111),"Fout: eindigt op een andere dag (één regel per dag)",IF(COUNTIFS($A$2:$A$200,A111,$B$2:$B$200,B111,$C$2:$C$200,C111)&gt;1,"Fout: dubbele inschrijving",IF(C111&lt;TODAY(),"Let op: ligt in het verleden, wordt geen dienst","OK"))))))))</f>
        <v/>
      </c>
    </row>
    <row r="112" spans="1:8" x14ac:dyDescent="0.25">
      <c r="A112" s="8"/>
      <c r="B112" s="5"/>
      <c r="C112" s="9"/>
      <c r="D112" s="9"/>
      <c r="E112" s="10"/>
      <c r="F112" s="7" t="str">
        <f>IF(B112="","",IFERROR(INDEX(Scholingen!$B$2:$B$200,MATCH(B112,Scholingen!$A$2:$A$200,0)),"?"))</f>
        <v/>
      </c>
      <c r="G112" s="11" t="str">
        <f t="shared" si="6"/>
        <v/>
      </c>
      <c r="H112" s="7" t="str">
        <f ca="1">IF(AND(A112="",B112="",C112="",D112=""),"",IF(OR(A112="",B112="",C112="",D112=""),"Fout: niet alle verplichte velden gevuld",IF(ISNA(MATCH(B112,Scholingen!$A$2:$A$200,0)),"Fout: C_ID bestaat niet in Scholingen",IF(OR(NOT(ISNUMBER(C112)),NOT(ISNUMBER(D112))),"Fout: begin-/eindtijd is geen datum+tijd",IF(D112&lt;=C112,"Fout: eindtijd ligt niet na begintijd",IF(INT(D112)&lt;&gt;INT(C112),"Fout: eindigt op een andere dag (één regel per dag)",IF(COUNTIFS($A$2:$A$200,A112,$B$2:$B$200,B112,$C$2:$C$200,C112)&gt;1,"Fout: dubbele inschrijving",IF(C112&lt;TODAY(),"Let op: ligt in het verleden, wordt geen dienst","OK"))))))))</f>
        <v/>
      </c>
    </row>
    <row r="113" spans="1:8" x14ac:dyDescent="0.25">
      <c r="A113" s="8"/>
      <c r="B113" s="5"/>
      <c r="C113" s="9"/>
      <c r="D113" s="9"/>
      <c r="E113" s="10"/>
      <c r="F113" s="7" t="str">
        <f>IF(B113="","",IFERROR(INDEX(Scholingen!$B$2:$B$200,MATCH(B113,Scholingen!$A$2:$A$200,0)),"?"))</f>
        <v/>
      </c>
      <c r="G113" s="11" t="str">
        <f t="shared" si="6"/>
        <v/>
      </c>
      <c r="H113" s="7" t="str">
        <f ca="1">IF(AND(A113="",B113="",C113="",D113=""),"",IF(OR(A113="",B113="",C113="",D113=""),"Fout: niet alle verplichte velden gevuld",IF(ISNA(MATCH(B113,Scholingen!$A$2:$A$200,0)),"Fout: C_ID bestaat niet in Scholingen",IF(OR(NOT(ISNUMBER(C113)),NOT(ISNUMBER(D113))),"Fout: begin-/eindtijd is geen datum+tijd",IF(D113&lt;=C113,"Fout: eindtijd ligt niet na begintijd",IF(INT(D113)&lt;&gt;INT(C113),"Fout: eindigt op een andere dag (één regel per dag)",IF(COUNTIFS($A$2:$A$200,A113,$B$2:$B$200,B113,$C$2:$C$200,C113)&gt;1,"Fout: dubbele inschrijving",IF(C113&lt;TODAY(),"Let op: ligt in het verleden, wordt geen dienst","OK"))))))))</f>
        <v/>
      </c>
    </row>
    <row r="114" spans="1:8" x14ac:dyDescent="0.25">
      <c r="A114" s="8"/>
      <c r="B114" s="5"/>
      <c r="C114" s="9"/>
      <c r="D114" s="9"/>
      <c r="E114" s="10"/>
      <c r="F114" s="7" t="str">
        <f>IF(B114="","",IFERROR(INDEX(Scholingen!$B$2:$B$200,MATCH(B114,Scholingen!$A$2:$A$200,0)),"?"))</f>
        <v/>
      </c>
      <c r="G114" s="11" t="str">
        <f t="shared" si="6"/>
        <v/>
      </c>
      <c r="H114" s="7" t="str">
        <f ca="1">IF(AND(A114="",B114="",C114="",D114=""),"",IF(OR(A114="",B114="",C114="",D114=""),"Fout: niet alle verplichte velden gevuld",IF(ISNA(MATCH(B114,Scholingen!$A$2:$A$200,0)),"Fout: C_ID bestaat niet in Scholingen",IF(OR(NOT(ISNUMBER(C114)),NOT(ISNUMBER(D114))),"Fout: begin-/eindtijd is geen datum+tijd",IF(D114&lt;=C114,"Fout: eindtijd ligt niet na begintijd",IF(INT(D114)&lt;&gt;INT(C114),"Fout: eindigt op een andere dag (één regel per dag)",IF(COUNTIFS($A$2:$A$200,A114,$B$2:$B$200,B114,$C$2:$C$200,C114)&gt;1,"Fout: dubbele inschrijving",IF(C114&lt;TODAY(),"Let op: ligt in het verleden, wordt geen dienst","OK"))))))))</f>
        <v/>
      </c>
    </row>
    <row r="115" spans="1:8" x14ac:dyDescent="0.25">
      <c r="A115" s="8"/>
      <c r="B115" s="5"/>
      <c r="C115" s="9"/>
      <c r="D115" s="9"/>
      <c r="E115" s="10"/>
      <c r="F115" s="7" t="str">
        <f>IF(B115="","",IFERROR(INDEX(Scholingen!$B$2:$B$200,MATCH(B115,Scholingen!$A$2:$A$200,0)),"?"))</f>
        <v/>
      </c>
      <c r="G115" s="11" t="str">
        <f t="shared" si="6"/>
        <v/>
      </c>
      <c r="H115" s="7" t="str">
        <f ca="1">IF(AND(A115="",B115="",C115="",D115=""),"",IF(OR(A115="",B115="",C115="",D115=""),"Fout: niet alle verplichte velden gevuld",IF(ISNA(MATCH(B115,Scholingen!$A$2:$A$200,0)),"Fout: C_ID bestaat niet in Scholingen",IF(OR(NOT(ISNUMBER(C115)),NOT(ISNUMBER(D115))),"Fout: begin-/eindtijd is geen datum+tijd",IF(D115&lt;=C115,"Fout: eindtijd ligt niet na begintijd",IF(INT(D115)&lt;&gt;INT(C115),"Fout: eindigt op een andere dag (één regel per dag)",IF(COUNTIFS($A$2:$A$200,A115,$B$2:$B$200,B115,$C$2:$C$200,C115)&gt;1,"Fout: dubbele inschrijving",IF(C115&lt;TODAY(),"Let op: ligt in het verleden, wordt geen dienst","OK"))))))))</f>
        <v/>
      </c>
    </row>
    <row r="116" spans="1:8" x14ac:dyDescent="0.25">
      <c r="A116" s="8"/>
      <c r="B116" s="5"/>
      <c r="C116" s="9"/>
      <c r="D116" s="9"/>
      <c r="E116" s="10"/>
      <c r="F116" s="7" t="str">
        <f>IF(B116="","",IFERROR(INDEX(Scholingen!$B$2:$B$200,MATCH(B116,Scholingen!$A$2:$A$200,0)),"?"))</f>
        <v/>
      </c>
      <c r="G116" s="11" t="str">
        <f t="shared" si="6"/>
        <v/>
      </c>
      <c r="H116" s="7" t="str">
        <f ca="1">IF(AND(A116="",B116="",C116="",D116=""),"",IF(OR(A116="",B116="",C116="",D116=""),"Fout: niet alle verplichte velden gevuld",IF(ISNA(MATCH(B116,Scholingen!$A$2:$A$200,0)),"Fout: C_ID bestaat niet in Scholingen",IF(OR(NOT(ISNUMBER(C116)),NOT(ISNUMBER(D116))),"Fout: begin-/eindtijd is geen datum+tijd",IF(D116&lt;=C116,"Fout: eindtijd ligt niet na begintijd",IF(INT(D116)&lt;&gt;INT(C116),"Fout: eindigt op een andere dag (één regel per dag)",IF(COUNTIFS($A$2:$A$200,A116,$B$2:$B$200,B116,$C$2:$C$200,C116)&gt;1,"Fout: dubbele inschrijving",IF(C116&lt;TODAY(),"Let op: ligt in het verleden, wordt geen dienst","OK"))))))))</f>
        <v/>
      </c>
    </row>
    <row r="117" spans="1:8" x14ac:dyDescent="0.25">
      <c r="A117" s="8"/>
      <c r="B117" s="5"/>
      <c r="C117" s="9"/>
      <c r="D117" s="9"/>
      <c r="E117" s="10"/>
      <c r="F117" s="7" t="str">
        <f>IF(B117="","",IFERROR(INDEX(Scholingen!$B$2:$B$200,MATCH(B117,Scholingen!$A$2:$A$200,0)),"?"))</f>
        <v/>
      </c>
      <c r="G117" s="11" t="str">
        <f t="shared" si="6"/>
        <v/>
      </c>
      <c r="H117" s="7" t="str">
        <f ca="1">IF(AND(A117="",B117="",C117="",D117=""),"",IF(OR(A117="",B117="",C117="",D117=""),"Fout: niet alle verplichte velden gevuld",IF(ISNA(MATCH(B117,Scholingen!$A$2:$A$200,0)),"Fout: C_ID bestaat niet in Scholingen",IF(OR(NOT(ISNUMBER(C117)),NOT(ISNUMBER(D117))),"Fout: begin-/eindtijd is geen datum+tijd",IF(D117&lt;=C117,"Fout: eindtijd ligt niet na begintijd",IF(INT(D117)&lt;&gt;INT(C117),"Fout: eindigt op een andere dag (één regel per dag)",IF(COUNTIFS($A$2:$A$200,A117,$B$2:$B$200,B117,$C$2:$C$200,C117)&gt;1,"Fout: dubbele inschrijving",IF(C117&lt;TODAY(),"Let op: ligt in het verleden, wordt geen dienst","OK"))))))))</f>
        <v/>
      </c>
    </row>
    <row r="118" spans="1:8" x14ac:dyDescent="0.25">
      <c r="A118" s="8"/>
      <c r="B118" s="5"/>
      <c r="C118" s="9"/>
      <c r="D118" s="9"/>
      <c r="E118" s="10"/>
      <c r="F118" s="7" t="str">
        <f>IF(B118="","",IFERROR(INDEX(Scholingen!$B$2:$B$200,MATCH(B118,Scholingen!$A$2:$A$200,0)),"?"))</f>
        <v/>
      </c>
      <c r="G118" s="11" t="str">
        <f t="shared" si="6"/>
        <v/>
      </c>
      <c r="H118" s="7" t="str">
        <f ca="1">IF(AND(A118="",B118="",C118="",D118=""),"",IF(OR(A118="",B118="",C118="",D118=""),"Fout: niet alle verplichte velden gevuld",IF(ISNA(MATCH(B118,Scholingen!$A$2:$A$200,0)),"Fout: C_ID bestaat niet in Scholingen",IF(OR(NOT(ISNUMBER(C118)),NOT(ISNUMBER(D118))),"Fout: begin-/eindtijd is geen datum+tijd",IF(D118&lt;=C118,"Fout: eindtijd ligt niet na begintijd",IF(INT(D118)&lt;&gt;INT(C118),"Fout: eindigt op een andere dag (één regel per dag)",IF(COUNTIFS($A$2:$A$200,A118,$B$2:$B$200,B118,$C$2:$C$200,C118)&gt;1,"Fout: dubbele inschrijving",IF(C118&lt;TODAY(),"Let op: ligt in het verleden, wordt geen dienst","OK"))))))))</f>
        <v/>
      </c>
    </row>
    <row r="119" spans="1:8" x14ac:dyDescent="0.25">
      <c r="A119" s="8"/>
      <c r="B119" s="5"/>
      <c r="C119" s="9"/>
      <c r="D119" s="9"/>
      <c r="E119" s="10"/>
      <c r="F119" s="7" t="str">
        <f>IF(B119="","",IFERROR(INDEX(Scholingen!$B$2:$B$200,MATCH(B119,Scholingen!$A$2:$A$200,0)),"?"))</f>
        <v/>
      </c>
      <c r="G119" s="11" t="str">
        <f t="shared" si="6"/>
        <v/>
      </c>
      <c r="H119" s="7" t="str">
        <f ca="1">IF(AND(A119="",B119="",C119="",D119=""),"",IF(OR(A119="",B119="",C119="",D119=""),"Fout: niet alle verplichte velden gevuld",IF(ISNA(MATCH(B119,Scholingen!$A$2:$A$200,0)),"Fout: C_ID bestaat niet in Scholingen",IF(OR(NOT(ISNUMBER(C119)),NOT(ISNUMBER(D119))),"Fout: begin-/eindtijd is geen datum+tijd",IF(D119&lt;=C119,"Fout: eindtijd ligt niet na begintijd",IF(INT(D119)&lt;&gt;INT(C119),"Fout: eindigt op een andere dag (één regel per dag)",IF(COUNTIFS($A$2:$A$200,A119,$B$2:$B$200,B119,$C$2:$C$200,C119)&gt;1,"Fout: dubbele inschrijving",IF(C119&lt;TODAY(),"Let op: ligt in het verleden, wordt geen dienst","OK"))))))))</f>
        <v/>
      </c>
    </row>
    <row r="120" spans="1:8" x14ac:dyDescent="0.25">
      <c r="A120" s="8"/>
      <c r="B120" s="5"/>
      <c r="C120" s="9"/>
      <c r="D120" s="9"/>
      <c r="E120" s="10"/>
      <c r="F120" s="7" t="str">
        <f>IF(B120="","",IFERROR(INDEX(Scholingen!$B$2:$B$200,MATCH(B120,Scholingen!$A$2:$A$200,0)),"?"))</f>
        <v/>
      </c>
      <c r="G120" s="11" t="str">
        <f t="shared" si="6"/>
        <v/>
      </c>
      <c r="H120" s="7" t="str">
        <f ca="1">IF(AND(A120="",B120="",C120="",D120=""),"",IF(OR(A120="",B120="",C120="",D120=""),"Fout: niet alle verplichte velden gevuld",IF(ISNA(MATCH(B120,Scholingen!$A$2:$A$200,0)),"Fout: C_ID bestaat niet in Scholingen",IF(OR(NOT(ISNUMBER(C120)),NOT(ISNUMBER(D120))),"Fout: begin-/eindtijd is geen datum+tijd",IF(D120&lt;=C120,"Fout: eindtijd ligt niet na begintijd",IF(INT(D120)&lt;&gt;INT(C120),"Fout: eindigt op een andere dag (één regel per dag)",IF(COUNTIFS($A$2:$A$200,A120,$B$2:$B$200,B120,$C$2:$C$200,C120)&gt;1,"Fout: dubbele inschrijving",IF(C120&lt;TODAY(),"Let op: ligt in het verleden, wordt geen dienst","OK"))))))))</f>
        <v/>
      </c>
    </row>
    <row r="121" spans="1:8" x14ac:dyDescent="0.25">
      <c r="A121" s="8"/>
      <c r="B121" s="5"/>
      <c r="C121" s="9"/>
      <c r="D121" s="9"/>
      <c r="E121" s="10"/>
      <c r="F121" s="7" t="str">
        <f>IF(B121="","",IFERROR(INDEX(Scholingen!$B$2:$B$200,MATCH(B121,Scholingen!$A$2:$A$200,0)),"?"))</f>
        <v/>
      </c>
      <c r="G121" s="11" t="str">
        <f t="shared" si="6"/>
        <v/>
      </c>
      <c r="H121" s="7" t="str">
        <f ca="1">IF(AND(A121="",B121="",C121="",D121=""),"",IF(OR(A121="",B121="",C121="",D121=""),"Fout: niet alle verplichte velden gevuld",IF(ISNA(MATCH(B121,Scholingen!$A$2:$A$200,0)),"Fout: C_ID bestaat niet in Scholingen",IF(OR(NOT(ISNUMBER(C121)),NOT(ISNUMBER(D121))),"Fout: begin-/eindtijd is geen datum+tijd",IF(D121&lt;=C121,"Fout: eindtijd ligt niet na begintijd",IF(INT(D121)&lt;&gt;INT(C121),"Fout: eindigt op een andere dag (één regel per dag)",IF(COUNTIFS($A$2:$A$200,A121,$B$2:$B$200,B121,$C$2:$C$200,C121)&gt;1,"Fout: dubbele inschrijving",IF(C121&lt;TODAY(),"Let op: ligt in het verleden, wordt geen dienst","OK"))))))))</f>
        <v/>
      </c>
    </row>
    <row r="122" spans="1:8" x14ac:dyDescent="0.25">
      <c r="A122" s="8"/>
      <c r="B122" s="5"/>
      <c r="C122" s="9"/>
      <c r="D122" s="9"/>
      <c r="E122" s="10"/>
      <c r="F122" s="7" t="str">
        <f>IF(B122="","",IFERROR(INDEX(Scholingen!$B$2:$B$200,MATCH(B122,Scholingen!$A$2:$A$200,0)),"?"))</f>
        <v/>
      </c>
      <c r="G122" s="11" t="str">
        <f t="shared" si="6"/>
        <v/>
      </c>
      <c r="H122" s="7" t="str">
        <f ca="1">IF(AND(A122="",B122="",C122="",D122=""),"",IF(OR(A122="",B122="",C122="",D122=""),"Fout: niet alle verplichte velden gevuld",IF(ISNA(MATCH(B122,Scholingen!$A$2:$A$200,0)),"Fout: C_ID bestaat niet in Scholingen",IF(OR(NOT(ISNUMBER(C122)),NOT(ISNUMBER(D122))),"Fout: begin-/eindtijd is geen datum+tijd",IF(D122&lt;=C122,"Fout: eindtijd ligt niet na begintijd",IF(INT(D122)&lt;&gt;INT(C122),"Fout: eindigt op een andere dag (één regel per dag)",IF(COUNTIFS($A$2:$A$200,A122,$B$2:$B$200,B122,$C$2:$C$200,C122)&gt;1,"Fout: dubbele inschrijving",IF(C122&lt;TODAY(),"Let op: ligt in het verleden, wordt geen dienst","OK"))))))))</f>
        <v/>
      </c>
    </row>
    <row r="123" spans="1:8" x14ac:dyDescent="0.25">
      <c r="A123" s="8"/>
      <c r="B123" s="5"/>
      <c r="C123" s="9"/>
      <c r="D123" s="9"/>
      <c r="E123" s="10"/>
      <c r="F123" s="7" t="str">
        <f>IF(B123="","",IFERROR(INDEX(Scholingen!$B$2:$B$200,MATCH(B123,Scholingen!$A$2:$A$200,0)),"?"))</f>
        <v/>
      </c>
      <c r="G123" s="11" t="str">
        <f t="shared" si="6"/>
        <v/>
      </c>
      <c r="H123" s="7" t="str">
        <f ca="1">IF(AND(A123="",B123="",C123="",D123=""),"",IF(OR(A123="",B123="",C123="",D123=""),"Fout: niet alle verplichte velden gevuld",IF(ISNA(MATCH(B123,Scholingen!$A$2:$A$200,0)),"Fout: C_ID bestaat niet in Scholingen",IF(OR(NOT(ISNUMBER(C123)),NOT(ISNUMBER(D123))),"Fout: begin-/eindtijd is geen datum+tijd",IF(D123&lt;=C123,"Fout: eindtijd ligt niet na begintijd",IF(INT(D123)&lt;&gt;INT(C123),"Fout: eindigt op een andere dag (één regel per dag)",IF(COUNTIFS($A$2:$A$200,A123,$B$2:$B$200,B123,$C$2:$C$200,C123)&gt;1,"Fout: dubbele inschrijving",IF(C123&lt;TODAY(),"Let op: ligt in het verleden, wordt geen dienst","OK"))))))))</f>
        <v/>
      </c>
    </row>
    <row r="124" spans="1:8" x14ac:dyDescent="0.25">
      <c r="A124" s="8"/>
      <c r="B124" s="5"/>
      <c r="C124" s="9"/>
      <c r="D124" s="9"/>
      <c r="E124" s="10"/>
      <c r="F124" s="7" t="str">
        <f>IF(B124="","",IFERROR(INDEX(Scholingen!$B$2:$B$200,MATCH(B124,Scholingen!$A$2:$A$200,0)),"?"))</f>
        <v/>
      </c>
      <c r="G124" s="11" t="str">
        <f t="shared" si="6"/>
        <v/>
      </c>
      <c r="H124" s="7" t="str">
        <f ca="1">IF(AND(A124="",B124="",C124="",D124=""),"",IF(OR(A124="",B124="",C124="",D124=""),"Fout: niet alle verplichte velden gevuld",IF(ISNA(MATCH(B124,Scholingen!$A$2:$A$200,0)),"Fout: C_ID bestaat niet in Scholingen",IF(OR(NOT(ISNUMBER(C124)),NOT(ISNUMBER(D124))),"Fout: begin-/eindtijd is geen datum+tijd",IF(D124&lt;=C124,"Fout: eindtijd ligt niet na begintijd",IF(INT(D124)&lt;&gt;INT(C124),"Fout: eindigt op een andere dag (één regel per dag)",IF(COUNTIFS($A$2:$A$200,A124,$B$2:$B$200,B124,$C$2:$C$200,C124)&gt;1,"Fout: dubbele inschrijving",IF(C124&lt;TODAY(),"Let op: ligt in het verleden, wordt geen dienst","OK"))))))))</f>
        <v/>
      </c>
    </row>
    <row r="125" spans="1:8" x14ac:dyDescent="0.25">
      <c r="A125" s="8"/>
      <c r="B125" s="5"/>
      <c r="C125" s="9"/>
      <c r="D125" s="9"/>
      <c r="E125" s="10"/>
      <c r="F125" s="7" t="str">
        <f>IF(B125="","",IFERROR(INDEX(Scholingen!$B$2:$B$200,MATCH(B125,Scholingen!$A$2:$A$200,0)),"?"))</f>
        <v/>
      </c>
      <c r="G125" s="11" t="str">
        <f t="shared" si="6"/>
        <v/>
      </c>
      <c r="H125" s="7" t="str">
        <f ca="1">IF(AND(A125="",B125="",C125="",D125=""),"",IF(OR(A125="",B125="",C125="",D125=""),"Fout: niet alle verplichte velden gevuld",IF(ISNA(MATCH(B125,Scholingen!$A$2:$A$200,0)),"Fout: C_ID bestaat niet in Scholingen",IF(OR(NOT(ISNUMBER(C125)),NOT(ISNUMBER(D125))),"Fout: begin-/eindtijd is geen datum+tijd",IF(D125&lt;=C125,"Fout: eindtijd ligt niet na begintijd",IF(INT(D125)&lt;&gt;INT(C125),"Fout: eindigt op een andere dag (één regel per dag)",IF(COUNTIFS($A$2:$A$200,A125,$B$2:$B$200,B125,$C$2:$C$200,C125)&gt;1,"Fout: dubbele inschrijving",IF(C125&lt;TODAY(),"Let op: ligt in het verleden, wordt geen dienst","OK"))))))))</f>
        <v/>
      </c>
    </row>
    <row r="126" spans="1:8" x14ac:dyDescent="0.25">
      <c r="A126" s="8"/>
      <c r="B126" s="5"/>
      <c r="C126" s="9"/>
      <c r="D126" s="9"/>
      <c r="E126" s="10"/>
      <c r="F126" s="7" t="str">
        <f>IF(B126="","",IFERROR(INDEX(Scholingen!$B$2:$B$200,MATCH(B126,Scholingen!$A$2:$A$200,0)),"?"))</f>
        <v/>
      </c>
      <c r="G126" s="11" t="str">
        <f t="shared" si="6"/>
        <v/>
      </c>
      <c r="H126" s="7" t="str">
        <f ca="1">IF(AND(A126="",B126="",C126="",D126=""),"",IF(OR(A126="",B126="",C126="",D126=""),"Fout: niet alle verplichte velden gevuld",IF(ISNA(MATCH(B126,Scholingen!$A$2:$A$200,0)),"Fout: C_ID bestaat niet in Scholingen",IF(OR(NOT(ISNUMBER(C126)),NOT(ISNUMBER(D126))),"Fout: begin-/eindtijd is geen datum+tijd",IF(D126&lt;=C126,"Fout: eindtijd ligt niet na begintijd",IF(INT(D126)&lt;&gt;INT(C126),"Fout: eindigt op een andere dag (één regel per dag)",IF(COUNTIFS($A$2:$A$200,A126,$B$2:$B$200,B126,$C$2:$C$200,C126)&gt;1,"Fout: dubbele inschrijving",IF(C126&lt;TODAY(),"Let op: ligt in het verleden, wordt geen dienst","OK"))))))))</f>
        <v/>
      </c>
    </row>
    <row r="127" spans="1:8" x14ac:dyDescent="0.25">
      <c r="A127" s="8"/>
      <c r="B127" s="5"/>
      <c r="C127" s="9"/>
      <c r="D127" s="9"/>
      <c r="E127" s="10"/>
      <c r="F127" s="7" t="str">
        <f>IF(B127="","",IFERROR(INDEX(Scholingen!$B$2:$B$200,MATCH(B127,Scholingen!$A$2:$A$200,0)),"?"))</f>
        <v/>
      </c>
      <c r="G127" s="11" t="str">
        <f t="shared" si="6"/>
        <v/>
      </c>
      <c r="H127" s="7" t="str">
        <f ca="1">IF(AND(A127="",B127="",C127="",D127=""),"",IF(OR(A127="",B127="",C127="",D127=""),"Fout: niet alle verplichte velden gevuld",IF(ISNA(MATCH(B127,Scholingen!$A$2:$A$200,0)),"Fout: C_ID bestaat niet in Scholingen",IF(OR(NOT(ISNUMBER(C127)),NOT(ISNUMBER(D127))),"Fout: begin-/eindtijd is geen datum+tijd",IF(D127&lt;=C127,"Fout: eindtijd ligt niet na begintijd",IF(INT(D127)&lt;&gt;INT(C127),"Fout: eindigt op een andere dag (één regel per dag)",IF(COUNTIFS($A$2:$A$200,A127,$B$2:$B$200,B127,$C$2:$C$200,C127)&gt;1,"Fout: dubbele inschrijving",IF(C127&lt;TODAY(),"Let op: ligt in het verleden, wordt geen dienst","OK"))))))))</f>
        <v/>
      </c>
    </row>
    <row r="128" spans="1:8" x14ac:dyDescent="0.25">
      <c r="A128" s="8"/>
      <c r="B128" s="5"/>
      <c r="C128" s="9"/>
      <c r="D128" s="9"/>
      <c r="E128" s="10"/>
      <c r="F128" s="7" t="str">
        <f>IF(B128="","",IFERROR(INDEX(Scholingen!$B$2:$B$200,MATCH(B128,Scholingen!$A$2:$A$200,0)),"?"))</f>
        <v/>
      </c>
      <c r="G128" s="11" t="str">
        <f t="shared" si="6"/>
        <v/>
      </c>
      <c r="H128" s="7" t="str">
        <f ca="1">IF(AND(A128="",B128="",C128="",D128=""),"",IF(OR(A128="",B128="",C128="",D128=""),"Fout: niet alle verplichte velden gevuld",IF(ISNA(MATCH(B128,Scholingen!$A$2:$A$200,0)),"Fout: C_ID bestaat niet in Scholingen",IF(OR(NOT(ISNUMBER(C128)),NOT(ISNUMBER(D128))),"Fout: begin-/eindtijd is geen datum+tijd",IF(D128&lt;=C128,"Fout: eindtijd ligt niet na begintijd",IF(INT(D128)&lt;&gt;INT(C128),"Fout: eindigt op een andere dag (één regel per dag)",IF(COUNTIFS($A$2:$A$200,A128,$B$2:$B$200,B128,$C$2:$C$200,C128)&gt;1,"Fout: dubbele inschrijving",IF(C128&lt;TODAY(),"Let op: ligt in het verleden, wordt geen dienst","OK"))))))))</f>
        <v/>
      </c>
    </row>
    <row r="129" spans="1:8" x14ac:dyDescent="0.25">
      <c r="A129" s="8"/>
      <c r="B129" s="5"/>
      <c r="C129" s="9"/>
      <c r="D129" s="9"/>
      <c r="E129" s="10"/>
      <c r="F129" s="7" t="str">
        <f>IF(B129="","",IFERROR(INDEX(Scholingen!$B$2:$B$200,MATCH(B129,Scholingen!$A$2:$A$200,0)),"?"))</f>
        <v/>
      </c>
      <c r="G129" s="11" t="str">
        <f t="shared" si="6"/>
        <v/>
      </c>
      <c r="H129" s="7" t="str">
        <f ca="1">IF(AND(A129="",B129="",C129="",D129=""),"",IF(OR(A129="",B129="",C129="",D129=""),"Fout: niet alle verplichte velden gevuld",IF(ISNA(MATCH(B129,Scholingen!$A$2:$A$200,0)),"Fout: C_ID bestaat niet in Scholingen",IF(OR(NOT(ISNUMBER(C129)),NOT(ISNUMBER(D129))),"Fout: begin-/eindtijd is geen datum+tijd",IF(D129&lt;=C129,"Fout: eindtijd ligt niet na begintijd",IF(INT(D129)&lt;&gt;INT(C129),"Fout: eindigt op een andere dag (één regel per dag)",IF(COUNTIFS($A$2:$A$200,A129,$B$2:$B$200,B129,$C$2:$C$200,C129)&gt;1,"Fout: dubbele inschrijving",IF(C129&lt;TODAY(),"Let op: ligt in het verleden, wordt geen dienst","OK"))))))))</f>
        <v/>
      </c>
    </row>
    <row r="130" spans="1:8" x14ac:dyDescent="0.25">
      <c r="A130" s="8"/>
      <c r="B130" s="5"/>
      <c r="C130" s="9"/>
      <c r="D130" s="9"/>
      <c r="E130" s="10"/>
      <c r="F130" s="7" t="str">
        <f>IF(B130="","",IFERROR(INDEX(Scholingen!$B$2:$B$200,MATCH(B130,Scholingen!$A$2:$A$200,0)),"?"))</f>
        <v/>
      </c>
      <c r="G130" s="11" t="str">
        <f t="shared" ref="G130:G161" si="7">IF(AND(ISNUMBER(C130),ISNUMBER(D130)),(D130-C130)*24,"")</f>
        <v/>
      </c>
      <c r="H130" s="7" t="str">
        <f ca="1">IF(AND(A130="",B130="",C130="",D130=""),"",IF(OR(A130="",B130="",C130="",D130=""),"Fout: niet alle verplichte velden gevuld",IF(ISNA(MATCH(B130,Scholingen!$A$2:$A$200,0)),"Fout: C_ID bestaat niet in Scholingen",IF(OR(NOT(ISNUMBER(C130)),NOT(ISNUMBER(D130))),"Fout: begin-/eindtijd is geen datum+tijd",IF(D130&lt;=C130,"Fout: eindtijd ligt niet na begintijd",IF(INT(D130)&lt;&gt;INT(C130),"Fout: eindigt op een andere dag (één regel per dag)",IF(COUNTIFS($A$2:$A$200,A130,$B$2:$B$200,B130,$C$2:$C$200,C130)&gt;1,"Fout: dubbele inschrijving",IF(C130&lt;TODAY(),"Let op: ligt in het verleden, wordt geen dienst","OK"))))))))</f>
        <v/>
      </c>
    </row>
    <row r="131" spans="1:8" x14ac:dyDescent="0.25">
      <c r="A131" s="8"/>
      <c r="B131" s="5"/>
      <c r="C131" s="9"/>
      <c r="D131" s="9"/>
      <c r="E131" s="10"/>
      <c r="F131" s="7" t="str">
        <f>IF(B131="","",IFERROR(INDEX(Scholingen!$B$2:$B$200,MATCH(B131,Scholingen!$A$2:$A$200,0)),"?"))</f>
        <v/>
      </c>
      <c r="G131" s="11" t="str">
        <f t="shared" si="7"/>
        <v/>
      </c>
      <c r="H131" s="7" t="str">
        <f ca="1">IF(AND(A131="",B131="",C131="",D131=""),"",IF(OR(A131="",B131="",C131="",D131=""),"Fout: niet alle verplichte velden gevuld",IF(ISNA(MATCH(B131,Scholingen!$A$2:$A$200,0)),"Fout: C_ID bestaat niet in Scholingen",IF(OR(NOT(ISNUMBER(C131)),NOT(ISNUMBER(D131))),"Fout: begin-/eindtijd is geen datum+tijd",IF(D131&lt;=C131,"Fout: eindtijd ligt niet na begintijd",IF(INT(D131)&lt;&gt;INT(C131),"Fout: eindigt op een andere dag (één regel per dag)",IF(COUNTIFS($A$2:$A$200,A131,$B$2:$B$200,B131,$C$2:$C$200,C131)&gt;1,"Fout: dubbele inschrijving",IF(C131&lt;TODAY(),"Let op: ligt in het verleden, wordt geen dienst","OK"))))))))</f>
        <v/>
      </c>
    </row>
    <row r="132" spans="1:8" x14ac:dyDescent="0.25">
      <c r="A132" s="8"/>
      <c r="B132" s="5"/>
      <c r="C132" s="9"/>
      <c r="D132" s="9"/>
      <c r="E132" s="10"/>
      <c r="F132" s="7" t="str">
        <f>IF(B132="","",IFERROR(INDEX(Scholingen!$B$2:$B$200,MATCH(B132,Scholingen!$A$2:$A$200,0)),"?"))</f>
        <v/>
      </c>
      <c r="G132" s="11" t="str">
        <f t="shared" si="7"/>
        <v/>
      </c>
      <c r="H132" s="7" t="str">
        <f ca="1">IF(AND(A132="",B132="",C132="",D132=""),"",IF(OR(A132="",B132="",C132="",D132=""),"Fout: niet alle verplichte velden gevuld",IF(ISNA(MATCH(B132,Scholingen!$A$2:$A$200,0)),"Fout: C_ID bestaat niet in Scholingen",IF(OR(NOT(ISNUMBER(C132)),NOT(ISNUMBER(D132))),"Fout: begin-/eindtijd is geen datum+tijd",IF(D132&lt;=C132,"Fout: eindtijd ligt niet na begintijd",IF(INT(D132)&lt;&gt;INT(C132),"Fout: eindigt op een andere dag (één regel per dag)",IF(COUNTIFS($A$2:$A$200,A132,$B$2:$B$200,B132,$C$2:$C$200,C132)&gt;1,"Fout: dubbele inschrijving",IF(C132&lt;TODAY(),"Let op: ligt in het verleden, wordt geen dienst","OK"))))))))</f>
        <v/>
      </c>
    </row>
    <row r="133" spans="1:8" x14ac:dyDescent="0.25">
      <c r="A133" s="8"/>
      <c r="B133" s="5"/>
      <c r="C133" s="9"/>
      <c r="D133" s="9"/>
      <c r="E133" s="10"/>
      <c r="F133" s="7" t="str">
        <f>IF(B133="","",IFERROR(INDEX(Scholingen!$B$2:$B$200,MATCH(B133,Scholingen!$A$2:$A$200,0)),"?"))</f>
        <v/>
      </c>
      <c r="G133" s="11" t="str">
        <f t="shared" si="7"/>
        <v/>
      </c>
      <c r="H133" s="7" t="str">
        <f ca="1">IF(AND(A133="",B133="",C133="",D133=""),"",IF(OR(A133="",B133="",C133="",D133=""),"Fout: niet alle verplichte velden gevuld",IF(ISNA(MATCH(B133,Scholingen!$A$2:$A$200,0)),"Fout: C_ID bestaat niet in Scholingen",IF(OR(NOT(ISNUMBER(C133)),NOT(ISNUMBER(D133))),"Fout: begin-/eindtijd is geen datum+tijd",IF(D133&lt;=C133,"Fout: eindtijd ligt niet na begintijd",IF(INT(D133)&lt;&gt;INT(C133),"Fout: eindigt op een andere dag (één regel per dag)",IF(COUNTIFS($A$2:$A$200,A133,$B$2:$B$200,B133,$C$2:$C$200,C133)&gt;1,"Fout: dubbele inschrijving",IF(C133&lt;TODAY(),"Let op: ligt in het verleden, wordt geen dienst","OK"))))))))</f>
        <v/>
      </c>
    </row>
    <row r="134" spans="1:8" x14ac:dyDescent="0.25">
      <c r="A134" s="8"/>
      <c r="B134" s="5"/>
      <c r="C134" s="9"/>
      <c r="D134" s="9"/>
      <c r="E134" s="10"/>
      <c r="F134" s="7" t="str">
        <f>IF(B134="","",IFERROR(INDEX(Scholingen!$B$2:$B$200,MATCH(B134,Scholingen!$A$2:$A$200,0)),"?"))</f>
        <v/>
      </c>
      <c r="G134" s="11" t="str">
        <f t="shared" si="7"/>
        <v/>
      </c>
      <c r="H134" s="7" t="str">
        <f ca="1">IF(AND(A134="",B134="",C134="",D134=""),"",IF(OR(A134="",B134="",C134="",D134=""),"Fout: niet alle verplichte velden gevuld",IF(ISNA(MATCH(B134,Scholingen!$A$2:$A$200,0)),"Fout: C_ID bestaat niet in Scholingen",IF(OR(NOT(ISNUMBER(C134)),NOT(ISNUMBER(D134))),"Fout: begin-/eindtijd is geen datum+tijd",IF(D134&lt;=C134,"Fout: eindtijd ligt niet na begintijd",IF(INT(D134)&lt;&gt;INT(C134),"Fout: eindigt op een andere dag (één regel per dag)",IF(COUNTIFS($A$2:$A$200,A134,$B$2:$B$200,B134,$C$2:$C$200,C134)&gt;1,"Fout: dubbele inschrijving",IF(C134&lt;TODAY(),"Let op: ligt in het verleden, wordt geen dienst","OK"))))))))</f>
        <v/>
      </c>
    </row>
    <row r="135" spans="1:8" x14ac:dyDescent="0.25">
      <c r="A135" s="8"/>
      <c r="B135" s="5"/>
      <c r="C135" s="9"/>
      <c r="D135" s="9"/>
      <c r="E135" s="10"/>
      <c r="F135" s="7" t="str">
        <f>IF(B135="","",IFERROR(INDEX(Scholingen!$B$2:$B$200,MATCH(B135,Scholingen!$A$2:$A$200,0)),"?"))</f>
        <v/>
      </c>
      <c r="G135" s="11" t="str">
        <f t="shared" si="7"/>
        <v/>
      </c>
      <c r="H135" s="7" t="str">
        <f ca="1">IF(AND(A135="",B135="",C135="",D135=""),"",IF(OR(A135="",B135="",C135="",D135=""),"Fout: niet alle verplichte velden gevuld",IF(ISNA(MATCH(B135,Scholingen!$A$2:$A$200,0)),"Fout: C_ID bestaat niet in Scholingen",IF(OR(NOT(ISNUMBER(C135)),NOT(ISNUMBER(D135))),"Fout: begin-/eindtijd is geen datum+tijd",IF(D135&lt;=C135,"Fout: eindtijd ligt niet na begintijd",IF(INT(D135)&lt;&gt;INT(C135),"Fout: eindigt op een andere dag (één regel per dag)",IF(COUNTIFS($A$2:$A$200,A135,$B$2:$B$200,B135,$C$2:$C$200,C135)&gt;1,"Fout: dubbele inschrijving",IF(C135&lt;TODAY(),"Let op: ligt in het verleden, wordt geen dienst","OK"))))))))</f>
        <v/>
      </c>
    </row>
    <row r="136" spans="1:8" x14ac:dyDescent="0.25">
      <c r="A136" s="8"/>
      <c r="B136" s="5"/>
      <c r="C136" s="9"/>
      <c r="D136" s="9"/>
      <c r="E136" s="10"/>
      <c r="F136" s="7" t="str">
        <f>IF(B136="","",IFERROR(INDEX(Scholingen!$B$2:$B$200,MATCH(B136,Scholingen!$A$2:$A$200,0)),"?"))</f>
        <v/>
      </c>
      <c r="G136" s="11" t="str">
        <f t="shared" si="7"/>
        <v/>
      </c>
      <c r="H136" s="7" t="str">
        <f ca="1">IF(AND(A136="",B136="",C136="",D136=""),"",IF(OR(A136="",B136="",C136="",D136=""),"Fout: niet alle verplichte velden gevuld",IF(ISNA(MATCH(B136,Scholingen!$A$2:$A$200,0)),"Fout: C_ID bestaat niet in Scholingen",IF(OR(NOT(ISNUMBER(C136)),NOT(ISNUMBER(D136))),"Fout: begin-/eindtijd is geen datum+tijd",IF(D136&lt;=C136,"Fout: eindtijd ligt niet na begintijd",IF(INT(D136)&lt;&gt;INT(C136),"Fout: eindigt op een andere dag (één regel per dag)",IF(COUNTIFS($A$2:$A$200,A136,$B$2:$B$200,B136,$C$2:$C$200,C136)&gt;1,"Fout: dubbele inschrijving",IF(C136&lt;TODAY(),"Let op: ligt in het verleden, wordt geen dienst","OK"))))))))</f>
        <v/>
      </c>
    </row>
    <row r="137" spans="1:8" x14ac:dyDescent="0.25">
      <c r="A137" s="8"/>
      <c r="B137" s="5"/>
      <c r="C137" s="9"/>
      <c r="D137" s="9"/>
      <c r="E137" s="10"/>
      <c r="F137" s="7" t="str">
        <f>IF(B137="","",IFERROR(INDEX(Scholingen!$B$2:$B$200,MATCH(B137,Scholingen!$A$2:$A$200,0)),"?"))</f>
        <v/>
      </c>
      <c r="G137" s="11" t="str">
        <f t="shared" si="7"/>
        <v/>
      </c>
      <c r="H137" s="7" t="str">
        <f ca="1">IF(AND(A137="",B137="",C137="",D137=""),"",IF(OR(A137="",B137="",C137="",D137=""),"Fout: niet alle verplichte velden gevuld",IF(ISNA(MATCH(B137,Scholingen!$A$2:$A$200,0)),"Fout: C_ID bestaat niet in Scholingen",IF(OR(NOT(ISNUMBER(C137)),NOT(ISNUMBER(D137))),"Fout: begin-/eindtijd is geen datum+tijd",IF(D137&lt;=C137,"Fout: eindtijd ligt niet na begintijd",IF(INT(D137)&lt;&gt;INT(C137),"Fout: eindigt op een andere dag (één regel per dag)",IF(COUNTIFS($A$2:$A$200,A137,$B$2:$B$200,B137,$C$2:$C$200,C137)&gt;1,"Fout: dubbele inschrijving",IF(C137&lt;TODAY(),"Let op: ligt in het verleden, wordt geen dienst","OK"))))))))</f>
        <v/>
      </c>
    </row>
    <row r="138" spans="1:8" x14ac:dyDescent="0.25">
      <c r="A138" s="8"/>
      <c r="B138" s="5"/>
      <c r="C138" s="9"/>
      <c r="D138" s="9"/>
      <c r="E138" s="10"/>
      <c r="F138" s="7" t="str">
        <f>IF(B138="","",IFERROR(INDEX(Scholingen!$B$2:$B$200,MATCH(B138,Scholingen!$A$2:$A$200,0)),"?"))</f>
        <v/>
      </c>
      <c r="G138" s="11" t="str">
        <f t="shared" si="7"/>
        <v/>
      </c>
      <c r="H138" s="7" t="str">
        <f ca="1">IF(AND(A138="",B138="",C138="",D138=""),"",IF(OR(A138="",B138="",C138="",D138=""),"Fout: niet alle verplichte velden gevuld",IF(ISNA(MATCH(B138,Scholingen!$A$2:$A$200,0)),"Fout: C_ID bestaat niet in Scholingen",IF(OR(NOT(ISNUMBER(C138)),NOT(ISNUMBER(D138))),"Fout: begin-/eindtijd is geen datum+tijd",IF(D138&lt;=C138,"Fout: eindtijd ligt niet na begintijd",IF(INT(D138)&lt;&gt;INT(C138),"Fout: eindigt op een andere dag (één regel per dag)",IF(COUNTIFS($A$2:$A$200,A138,$B$2:$B$200,B138,$C$2:$C$200,C138)&gt;1,"Fout: dubbele inschrijving",IF(C138&lt;TODAY(),"Let op: ligt in het verleden, wordt geen dienst","OK"))))))))</f>
        <v/>
      </c>
    </row>
    <row r="139" spans="1:8" x14ac:dyDescent="0.25">
      <c r="A139" s="8"/>
      <c r="B139" s="5"/>
      <c r="C139" s="9"/>
      <c r="D139" s="9"/>
      <c r="E139" s="10"/>
      <c r="F139" s="7" t="str">
        <f>IF(B139="","",IFERROR(INDEX(Scholingen!$B$2:$B$200,MATCH(B139,Scholingen!$A$2:$A$200,0)),"?"))</f>
        <v/>
      </c>
      <c r="G139" s="11" t="str">
        <f t="shared" si="7"/>
        <v/>
      </c>
      <c r="H139" s="7" t="str">
        <f ca="1">IF(AND(A139="",B139="",C139="",D139=""),"",IF(OR(A139="",B139="",C139="",D139=""),"Fout: niet alle verplichte velden gevuld",IF(ISNA(MATCH(B139,Scholingen!$A$2:$A$200,0)),"Fout: C_ID bestaat niet in Scholingen",IF(OR(NOT(ISNUMBER(C139)),NOT(ISNUMBER(D139))),"Fout: begin-/eindtijd is geen datum+tijd",IF(D139&lt;=C139,"Fout: eindtijd ligt niet na begintijd",IF(INT(D139)&lt;&gt;INT(C139),"Fout: eindigt op een andere dag (één regel per dag)",IF(COUNTIFS($A$2:$A$200,A139,$B$2:$B$200,B139,$C$2:$C$200,C139)&gt;1,"Fout: dubbele inschrijving",IF(C139&lt;TODAY(),"Let op: ligt in het verleden, wordt geen dienst","OK"))))))))</f>
        <v/>
      </c>
    </row>
    <row r="140" spans="1:8" x14ac:dyDescent="0.25">
      <c r="A140" s="8"/>
      <c r="B140" s="5"/>
      <c r="C140" s="9"/>
      <c r="D140" s="9"/>
      <c r="E140" s="10"/>
      <c r="F140" s="7" t="str">
        <f>IF(B140="","",IFERROR(INDEX(Scholingen!$B$2:$B$200,MATCH(B140,Scholingen!$A$2:$A$200,0)),"?"))</f>
        <v/>
      </c>
      <c r="G140" s="11" t="str">
        <f t="shared" si="7"/>
        <v/>
      </c>
      <c r="H140" s="7" t="str">
        <f ca="1">IF(AND(A140="",B140="",C140="",D140=""),"",IF(OR(A140="",B140="",C140="",D140=""),"Fout: niet alle verplichte velden gevuld",IF(ISNA(MATCH(B140,Scholingen!$A$2:$A$200,0)),"Fout: C_ID bestaat niet in Scholingen",IF(OR(NOT(ISNUMBER(C140)),NOT(ISNUMBER(D140))),"Fout: begin-/eindtijd is geen datum+tijd",IF(D140&lt;=C140,"Fout: eindtijd ligt niet na begintijd",IF(INT(D140)&lt;&gt;INT(C140),"Fout: eindigt op een andere dag (één regel per dag)",IF(COUNTIFS($A$2:$A$200,A140,$B$2:$B$200,B140,$C$2:$C$200,C140)&gt;1,"Fout: dubbele inschrijving",IF(C140&lt;TODAY(),"Let op: ligt in het verleden, wordt geen dienst","OK"))))))))</f>
        <v/>
      </c>
    </row>
    <row r="141" spans="1:8" x14ac:dyDescent="0.25">
      <c r="A141" s="8"/>
      <c r="B141" s="5"/>
      <c r="C141" s="9"/>
      <c r="D141" s="9"/>
      <c r="E141" s="10"/>
      <c r="F141" s="7" t="str">
        <f>IF(B141="","",IFERROR(INDEX(Scholingen!$B$2:$B$200,MATCH(B141,Scholingen!$A$2:$A$200,0)),"?"))</f>
        <v/>
      </c>
      <c r="G141" s="11" t="str">
        <f t="shared" si="7"/>
        <v/>
      </c>
      <c r="H141" s="7" t="str">
        <f ca="1">IF(AND(A141="",B141="",C141="",D141=""),"",IF(OR(A141="",B141="",C141="",D141=""),"Fout: niet alle verplichte velden gevuld",IF(ISNA(MATCH(B141,Scholingen!$A$2:$A$200,0)),"Fout: C_ID bestaat niet in Scholingen",IF(OR(NOT(ISNUMBER(C141)),NOT(ISNUMBER(D141))),"Fout: begin-/eindtijd is geen datum+tijd",IF(D141&lt;=C141,"Fout: eindtijd ligt niet na begintijd",IF(INT(D141)&lt;&gt;INT(C141),"Fout: eindigt op een andere dag (één regel per dag)",IF(COUNTIFS($A$2:$A$200,A141,$B$2:$B$200,B141,$C$2:$C$200,C141)&gt;1,"Fout: dubbele inschrijving",IF(C141&lt;TODAY(),"Let op: ligt in het verleden, wordt geen dienst","OK"))))))))</f>
        <v/>
      </c>
    </row>
    <row r="142" spans="1:8" x14ac:dyDescent="0.25">
      <c r="A142" s="8"/>
      <c r="B142" s="5"/>
      <c r="C142" s="9"/>
      <c r="D142" s="9"/>
      <c r="E142" s="10"/>
      <c r="F142" s="7" t="str">
        <f>IF(B142="","",IFERROR(INDEX(Scholingen!$B$2:$B$200,MATCH(B142,Scholingen!$A$2:$A$200,0)),"?"))</f>
        <v/>
      </c>
      <c r="G142" s="11" t="str">
        <f t="shared" si="7"/>
        <v/>
      </c>
      <c r="H142" s="7" t="str">
        <f ca="1">IF(AND(A142="",B142="",C142="",D142=""),"",IF(OR(A142="",B142="",C142="",D142=""),"Fout: niet alle verplichte velden gevuld",IF(ISNA(MATCH(B142,Scholingen!$A$2:$A$200,0)),"Fout: C_ID bestaat niet in Scholingen",IF(OR(NOT(ISNUMBER(C142)),NOT(ISNUMBER(D142))),"Fout: begin-/eindtijd is geen datum+tijd",IF(D142&lt;=C142,"Fout: eindtijd ligt niet na begintijd",IF(INT(D142)&lt;&gt;INT(C142),"Fout: eindigt op een andere dag (één regel per dag)",IF(COUNTIFS($A$2:$A$200,A142,$B$2:$B$200,B142,$C$2:$C$200,C142)&gt;1,"Fout: dubbele inschrijving",IF(C142&lt;TODAY(),"Let op: ligt in het verleden, wordt geen dienst","OK"))))))))</f>
        <v/>
      </c>
    </row>
    <row r="143" spans="1:8" x14ac:dyDescent="0.25">
      <c r="A143" s="8"/>
      <c r="B143" s="5"/>
      <c r="C143" s="9"/>
      <c r="D143" s="9"/>
      <c r="E143" s="10"/>
      <c r="F143" s="7" t="str">
        <f>IF(B143="","",IFERROR(INDEX(Scholingen!$B$2:$B$200,MATCH(B143,Scholingen!$A$2:$A$200,0)),"?"))</f>
        <v/>
      </c>
      <c r="G143" s="11" t="str">
        <f t="shared" si="7"/>
        <v/>
      </c>
      <c r="H143" s="7" t="str">
        <f ca="1">IF(AND(A143="",B143="",C143="",D143=""),"",IF(OR(A143="",B143="",C143="",D143=""),"Fout: niet alle verplichte velden gevuld",IF(ISNA(MATCH(B143,Scholingen!$A$2:$A$200,0)),"Fout: C_ID bestaat niet in Scholingen",IF(OR(NOT(ISNUMBER(C143)),NOT(ISNUMBER(D143))),"Fout: begin-/eindtijd is geen datum+tijd",IF(D143&lt;=C143,"Fout: eindtijd ligt niet na begintijd",IF(INT(D143)&lt;&gt;INT(C143),"Fout: eindigt op een andere dag (één regel per dag)",IF(COUNTIFS($A$2:$A$200,A143,$B$2:$B$200,B143,$C$2:$C$200,C143)&gt;1,"Fout: dubbele inschrijving",IF(C143&lt;TODAY(),"Let op: ligt in het verleden, wordt geen dienst","OK"))))))))</f>
        <v/>
      </c>
    </row>
    <row r="144" spans="1:8" x14ac:dyDescent="0.25">
      <c r="A144" s="8"/>
      <c r="B144" s="5"/>
      <c r="C144" s="9"/>
      <c r="D144" s="9"/>
      <c r="E144" s="10"/>
      <c r="F144" s="7" t="str">
        <f>IF(B144="","",IFERROR(INDEX(Scholingen!$B$2:$B$200,MATCH(B144,Scholingen!$A$2:$A$200,0)),"?"))</f>
        <v/>
      </c>
      <c r="G144" s="11" t="str">
        <f t="shared" si="7"/>
        <v/>
      </c>
      <c r="H144" s="7" t="str">
        <f ca="1">IF(AND(A144="",B144="",C144="",D144=""),"",IF(OR(A144="",B144="",C144="",D144=""),"Fout: niet alle verplichte velden gevuld",IF(ISNA(MATCH(B144,Scholingen!$A$2:$A$200,0)),"Fout: C_ID bestaat niet in Scholingen",IF(OR(NOT(ISNUMBER(C144)),NOT(ISNUMBER(D144))),"Fout: begin-/eindtijd is geen datum+tijd",IF(D144&lt;=C144,"Fout: eindtijd ligt niet na begintijd",IF(INT(D144)&lt;&gt;INT(C144),"Fout: eindigt op een andere dag (één regel per dag)",IF(COUNTIFS($A$2:$A$200,A144,$B$2:$B$200,B144,$C$2:$C$200,C144)&gt;1,"Fout: dubbele inschrijving",IF(C144&lt;TODAY(),"Let op: ligt in het verleden, wordt geen dienst","OK"))))))))</f>
        <v/>
      </c>
    </row>
    <row r="145" spans="1:8" x14ac:dyDescent="0.25">
      <c r="A145" s="8"/>
      <c r="B145" s="5"/>
      <c r="C145" s="9"/>
      <c r="D145" s="9"/>
      <c r="E145" s="10"/>
      <c r="F145" s="7" t="str">
        <f>IF(B145="","",IFERROR(INDEX(Scholingen!$B$2:$B$200,MATCH(B145,Scholingen!$A$2:$A$200,0)),"?"))</f>
        <v/>
      </c>
      <c r="G145" s="11" t="str">
        <f t="shared" si="7"/>
        <v/>
      </c>
      <c r="H145" s="7" t="str">
        <f ca="1">IF(AND(A145="",B145="",C145="",D145=""),"",IF(OR(A145="",B145="",C145="",D145=""),"Fout: niet alle verplichte velden gevuld",IF(ISNA(MATCH(B145,Scholingen!$A$2:$A$200,0)),"Fout: C_ID bestaat niet in Scholingen",IF(OR(NOT(ISNUMBER(C145)),NOT(ISNUMBER(D145))),"Fout: begin-/eindtijd is geen datum+tijd",IF(D145&lt;=C145,"Fout: eindtijd ligt niet na begintijd",IF(INT(D145)&lt;&gt;INT(C145),"Fout: eindigt op een andere dag (één regel per dag)",IF(COUNTIFS($A$2:$A$200,A145,$B$2:$B$200,B145,$C$2:$C$200,C145)&gt;1,"Fout: dubbele inschrijving",IF(C145&lt;TODAY(),"Let op: ligt in het verleden, wordt geen dienst","OK"))))))))</f>
        <v/>
      </c>
    </row>
    <row r="146" spans="1:8" x14ac:dyDescent="0.25">
      <c r="A146" s="8"/>
      <c r="B146" s="5"/>
      <c r="C146" s="9"/>
      <c r="D146" s="9"/>
      <c r="E146" s="10"/>
      <c r="F146" s="7" t="str">
        <f>IF(B146="","",IFERROR(INDEX(Scholingen!$B$2:$B$200,MATCH(B146,Scholingen!$A$2:$A$200,0)),"?"))</f>
        <v/>
      </c>
      <c r="G146" s="11" t="str">
        <f t="shared" si="7"/>
        <v/>
      </c>
      <c r="H146" s="7" t="str">
        <f ca="1">IF(AND(A146="",B146="",C146="",D146=""),"",IF(OR(A146="",B146="",C146="",D146=""),"Fout: niet alle verplichte velden gevuld",IF(ISNA(MATCH(B146,Scholingen!$A$2:$A$200,0)),"Fout: C_ID bestaat niet in Scholingen",IF(OR(NOT(ISNUMBER(C146)),NOT(ISNUMBER(D146))),"Fout: begin-/eindtijd is geen datum+tijd",IF(D146&lt;=C146,"Fout: eindtijd ligt niet na begintijd",IF(INT(D146)&lt;&gt;INT(C146),"Fout: eindigt op een andere dag (één regel per dag)",IF(COUNTIFS($A$2:$A$200,A146,$B$2:$B$200,B146,$C$2:$C$200,C146)&gt;1,"Fout: dubbele inschrijving",IF(C146&lt;TODAY(),"Let op: ligt in het verleden, wordt geen dienst","OK"))))))))</f>
        <v/>
      </c>
    </row>
    <row r="147" spans="1:8" x14ac:dyDescent="0.25">
      <c r="A147" s="8"/>
      <c r="B147" s="5"/>
      <c r="C147" s="9"/>
      <c r="D147" s="9"/>
      <c r="E147" s="10"/>
      <c r="F147" s="7" t="str">
        <f>IF(B147="","",IFERROR(INDEX(Scholingen!$B$2:$B$200,MATCH(B147,Scholingen!$A$2:$A$200,0)),"?"))</f>
        <v/>
      </c>
      <c r="G147" s="11" t="str">
        <f t="shared" si="7"/>
        <v/>
      </c>
      <c r="H147" s="7" t="str">
        <f ca="1">IF(AND(A147="",B147="",C147="",D147=""),"",IF(OR(A147="",B147="",C147="",D147=""),"Fout: niet alle verplichte velden gevuld",IF(ISNA(MATCH(B147,Scholingen!$A$2:$A$200,0)),"Fout: C_ID bestaat niet in Scholingen",IF(OR(NOT(ISNUMBER(C147)),NOT(ISNUMBER(D147))),"Fout: begin-/eindtijd is geen datum+tijd",IF(D147&lt;=C147,"Fout: eindtijd ligt niet na begintijd",IF(INT(D147)&lt;&gt;INT(C147),"Fout: eindigt op een andere dag (één regel per dag)",IF(COUNTIFS($A$2:$A$200,A147,$B$2:$B$200,B147,$C$2:$C$200,C147)&gt;1,"Fout: dubbele inschrijving",IF(C147&lt;TODAY(),"Let op: ligt in het verleden, wordt geen dienst","OK"))))))))</f>
        <v/>
      </c>
    </row>
    <row r="148" spans="1:8" x14ac:dyDescent="0.25">
      <c r="A148" s="8"/>
      <c r="B148" s="5"/>
      <c r="C148" s="9"/>
      <c r="D148" s="9"/>
      <c r="E148" s="10"/>
      <c r="F148" s="7" t="str">
        <f>IF(B148="","",IFERROR(INDEX(Scholingen!$B$2:$B$200,MATCH(B148,Scholingen!$A$2:$A$200,0)),"?"))</f>
        <v/>
      </c>
      <c r="G148" s="11" t="str">
        <f t="shared" si="7"/>
        <v/>
      </c>
      <c r="H148" s="7" t="str">
        <f ca="1">IF(AND(A148="",B148="",C148="",D148=""),"",IF(OR(A148="",B148="",C148="",D148=""),"Fout: niet alle verplichte velden gevuld",IF(ISNA(MATCH(B148,Scholingen!$A$2:$A$200,0)),"Fout: C_ID bestaat niet in Scholingen",IF(OR(NOT(ISNUMBER(C148)),NOT(ISNUMBER(D148))),"Fout: begin-/eindtijd is geen datum+tijd",IF(D148&lt;=C148,"Fout: eindtijd ligt niet na begintijd",IF(INT(D148)&lt;&gt;INT(C148),"Fout: eindigt op een andere dag (één regel per dag)",IF(COUNTIFS($A$2:$A$200,A148,$B$2:$B$200,B148,$C$2:$C$200,C148)&gt;1,"Fout: dubbele inschrijving",IF(C148&lt;TODAY(),"Let op: ligt in het verleden, wordt geen dienst","OK"))))))))</f>
        <v/>
      </c>
    </row>
    <row r="149" spans="1:8" x14ac:dyDescent="0.25">
      <c r="A149" s="8"/>
      <c r="B149" s="5"/>
      <c r="C149" s="9"/>
      <c r="D149" s="9"/>
      <c r="E149" s="10"/>
      <c r="F149" s="7" t="str">
        <f>IF(B149="","",IFERROR(INDEX(Scholingen!$B$2:$B$200,MATCH(B149,Scholingen!$A$2:$A$200,0)),"?"))</f>
        <v/>
      </c>
      <c r="G149" s="11" t="str">
        <f t="shared" si="7"/>
        <v/>
      </c>
      <c r="H149" s="7" t="str">
        <f ca="1">IF(AND(A149="",B149="",C149="",D149=""),"",IF(OR(A149="",B149="",C149="",D149=""),"Fout: niet alle verplichte velden gevuld",IF(ISNA(MATCH(B149,Scholingen!$A$2:$A$200,0)),"Fout: C_ID bestaat niet in Scholingen",IF(OR(NOT(ISNUMBER(C149)),NOT(ISNUMBER(D149))),"Fout: begin-/eindtijd is geen datum+tijd",IF(D149&lt;=C149,"Fout: eindtijd ligt niet na begintijd",IF(INT(D149)&lt;&gt;INT(C149),"Fout: eindigt op een andere dag (één regel per dag)",IF(COUNTIFS($A$2:$A$200,A149,$B$2:$B$200,B149,$C$2:$C$200,C149)&gt;1,"Fout: dubbele inschrijving",IF(C149&lt;TODAY(),"Let op: ligt in het verleden, wordt geen dienst","OK"))))))))</f>
        <v/>
      </c>
    </row>
    <row r="150" spans="1:8" x14ac:dyDescent="0.25">
      <c r="A150" s="8"/>
      <c r="B150" s="5"/>
      <c r="C150" s="9"/>
      <c r="D150" s="9"/>
      <c r="E150" s="10"/>
      <c r="F150" s="7" t="str">
        <f>IF(B150="","",IFERROR(INDEX(Scholingen!$B$2:$B$200,MATCH(B150,Scholingen!$A$2:$A$200,0)),"?"))</f>
        <v/>
      </c>
      <c r="G150" s="11" t="str">
        <f t="shared" si="7"/>
        <v/>
      </c>
      <c r="H150" s="7" t="str">
        <f ca="1">IF(AND(A150="",B150="",C150="",D150=""),"",IF(OR(A150="",B150="",C150="",D150=""),"Fout: niet alle verplichte velden gevuld",IF(ISNA(MATCH(B150,Scholingen!$A$2:$A$200,0)),"Fout: C_ID bestaat niet in Scholingen",IF(OR(NOT(ISNUMBER(C150)),NOT(ISNUMBER(D150))),"Fout: begin-/eindtijd is geen datum+tijd",IF(D150&lt;=C150,"Fout: eindtijd ligt niet na begintijd",IF(INT(D150)&lt;&gt;INT(C150),"Fout: eindigt op een andere dag (één regel per dag)",IF(COUNTIFS($A$2:$A$200,A150,$B$2:$B$200,B150,$C$2:$C$200,C150)&gt;1,"Fout: dubbele inschrijving",IF(C150&lt;TODAY(),"Let op: ligt in het verleden, wordt geen dienst","OK"))))))))</f>
        <v/>
      </c>
    </row>
    <row r="151" spans="1:8" x14ac:dyDescent="0.25">
      <c r="A151" s="8"/>
      <c r="B151" s="5"/>
      <c r="C151" s="9"/>
      <c r="D151" s="9"/>
      <c r="E151" s="10"/>
      <c r="F151" s="7" t="str">
        <f>IF(B151="","",IFERROR(INDEX(Scholingen!$B$2:$B$200,MATCH(B151,Scholingen!$A$2:$A$200,0)),"?"))</f>
        <v/>
      </c>
      <c r="G151" s="11" t="str">
        <f t="shared" si="7"/>
        <v/>
      </c>
      <c r="H151" s="7" t="str">
        <f ca="1">IF(AND(A151="",B151="",C151="",D151=""),"",IF(OR(A151="",B151="",C151="",D151=""),"Fout: niet alle verplichte velden gevuld",IF(ISNA(MATCH(B151,Scholingen!$A$2:$A$200,0)),"Fout: C_ID bestaat niet in Scholingen",IF(OR(NOT(ISNUMBER(C151)),NOT(ISNUMBER(D151))),"Fout: begin-/eindtijd is geen datum+tijd",IF(D151&lt;=C151,"Fout: eindtijd ligt niet na begintijd",IF(INT(D151)&lt;&gt;INT(C151),"Fout: eindigt op een andere dag (één regel per dag)",IF(COUNTIFS($A$2:$A$200,A151,$B$2:$B$200,B151,$C$2:$C$200,C151)&gt;1,"Fout: dubbele inschrijving",IF(C151&lt;TODAY(),"Let op: ligt in het verleden, wordt geen dienst","OK"))))))))</f>
        <v/>
      </c>
    </row>
    <row r="152" spans="1:8" x14ac:dyDescent="0.25">
      <c r="A152" s="8"/>
      <c r="B152" s="5"/>
      <c r="C152" s="9"/>
      <c r="D152" s="9"/>
      <c r="E152" s="10"/>
      <c r="F152" s="7" t="str">
        <f>IF(B152="","",IFERROR(INDEX(Scholingen!$B$2:$B$200,MATCH(B152,Scholingen!$A$2:$A$200,0)),"?"))</f>
        <v/>
      </c>
      <c r="G152" s="11" t="str">
        <f t="shared" si="7"/>
        <v/>
      </c>
      <c r="H152" s="7" t="str">
        <f ca="1">IF(AND(A152="",B152="",C152="",D152=""),"",IF(OR(A152="",B152="",C152="",D152=""),"Fout: niet alle verplichte velden gevuld",IF(ISNA(MATCH(B152,Scholingen!$A$2:$A$200,0)),"Fout: C_ID bestaat niet in Scholingen",IF(OR(NOT(ISNUMBER(C152)),NOT(ISNUMBER(D152))),"Fout: begin-/eindtijd is geen datum+tijd",IF(D152&lt;=C152,"Fout: eindtijd ligt niet na begintijd",IF(INT(D152)&lt;&gt;INT(C152),"Fout: eindigt op een andere dag (één regel per dag)",IF(COUNTIFS($A$2:$A$200,A152,$B$2:$B$200,B152,$C$2:$C$200,C152)&gt;1,"Fout: dubbele inschrijving",IF(C152&lt;TODAY(),"Let op: ligt in het verleden, wordt geen dienst","OK"))))))))</f>
        <v/>
      </c>
    </row>
    <row r="153" spans="1:8" x14ac:dyDescent="0.25">
      <c r="A153" s="8"/>
      <c r="B153" s="5"/>
      <c r="C153" s="9"/>
      <c r="D153" s="9"/>
      <c r="E153" s="10"/>
      <c r="F153" s="7" t="str">
        <f>IF(B153="","",IFERROR(INDEX(Scholingen!$B$2:$B$200,MATCH(B153,Scholingen!$A$2:$A$200,0)),"?"))</f>
        <v/>
      </c>
      <c r="G153" s="11" t="str">
        <f t="shared" si="7"/>
        <v/>
      </c>
      <c r="H153" s="7" t="str">
        <f ca="1">IF(AND(A153="",B153="",C153="",D153=""),"",IF(OR(A153="",B153="",C153="",D153=""),"Fout: niet alle verplichte velden gevuld",IF(ISNA(MATCH(B153,Scholingen!$A$2:$A$200,0)),"Fout: C_ID bestaat niet in Scholingen",IF(OR(NOT(ISNUMBER(C153)),NOT(ISNUMBER(D153))),"Fout: begin-/eindtijd is geen datum+tijd",IF(D153&lt;=C153,"Fout: eindtijd ligt niet na begintijd",IF(INT(D153)&lt;&gt;INT(C153),"Fout: eindigt op een andere dag (één regel per dag)",IF(COUNTIFS($A$2:$A$200,A153,$B$2:$B$200,B153,$C$2:$C$200,C153)&gt;1,"Fout: dubbele inschrijving",IF(C153&lt;TODAY(),"Let op: ligt in het verleden, wordt geen dienst","OK"))))))))</f>
        <v/>
      </c>
    </row>
    <row r="154" spans="1:8" x14ac:dyDescent="0.25">
      <c r="A154" s="8"/>
      <c r="B154" s="5"/>
      <c r="C154" s="9"/>
      <c r="D154" s="9"/>
      <c r="E154" s="10"/>
      <c r="F154" s="7" t="str">
        <f>IF(B154="","",IFERROR(INDEX(Scholingen!$B$2:$B$200,MATCH(B154,Scholingen!$A$2:$A$200,0)),"?"))</f>
        <v/>
      </c>
      <c r="G154" s="11" t="str">
        <f t="shared" si="7"/>
        <v/>
      </c>
      <c r="H154" s="7" t="str">
        <f ca="1">IF(AND(A154="",B154="",C154="",D154=""),"",IF(OR(A154="",B154="",C154="",D154=""),"Fout: niet alle verplichte velden gevuld",IF(ISNA(MATCH(B154,Scholingen!$A$2:$A$200,0)),"Fout: C_ID bestaat niet in Scholingen",IF(OR(NOT(ISNUMBER(C154)),NOT(ISNUMBER(D154))),"Fout: begin-/eindtijd is geen datum+tijd",IF(D154&lt;=C154,"Fout: eindtijd ligt niet na begintijd",IF(INT(D154)&lt;&gt;INT(C154),"Fout: eindigt op een andere dag (één regel per dag)",IF(COUNTIFS($A$2:$A$200,A154,$B$2:$B$200,B154,$C$2:$C$200,C154)&gt;1,"Fout: dubbele inschrijving",IF(C154&lt;TODAY(),"Let op: ligt in het verleden, wordt geen dienst","OK"))))))))</f>
        <v/>
      </c>
    </row>
    <row r="155" spans="1:8" x14ac:dyDescent="0.25">
      <c r="A155" s="8"/>
      <c r="B155" s="5"/>
      <c r="C155" s="9"/>
      <c r="D155" s="9"/>
      <c r="E155" s="10"/>
      <c r="F155" s="7" t="str">
        <f>IF(B155="","",IFERROR(INDEX(Scholingen!$B$2:$B$200,MATCH(B155,Scholingen!$A$2:$A$200,0)),"?"))</f>
        <v/>
      </c>
      <c r="G155" s="11" t="str">
        <f t="shared" si="7"/>
        <v/>
      </c>
      <c r="H155" s="7" t="str">
        <f ca="1">IF(AND(A155="",B155="",C155="",D155=""),"",IF(OR(A155="",B155="",C155="",D155=""),"Fout: niet alle verplichte velden gevuld",IF(ISNA(MATCH(B155,Scholingen!$A$2:$A$200,0)),"Fout: C_ID bestaat niet in Scholingen",IF(OR(NOT(ISNUMBER(C155)),NOT(ISNUMBER(D155))),"Fout: begin-/eindtijd is geen datum+tijd",IF(D155&lt;=C155,"Fout: eindtijd ligt niet na begintijd",IF(INT(D155)&lt;&gt;INT(C155),"Fout: eindigt op een andere dag (één regel per dag)",IF(COUNTIFS($A$2:$A$200,A155,$B$2:$B$200,B155,$C$2:$C$200,C155)&gt;1,"Fout: dubbele inschrijving",IF(C155&lt;TODAY(),"Let op: ligt in het verleden, wordt geen dienst","OK"))))))))</f>
        <v/>
      </c>
    </row>
    <row r="156" spans="1:8" x14ac:dyDescent="0.25">
      <c r="A156" s="8"/>
      <c r="B156" s="5"/>
      <c r="C156" s="9"/>
      <c r="D156" s="9"/>
      <c r="E156" s="10"/>
      <c r="F156" s="7" t="str">
        <f>IF(B156="","",IFERROR(INDEX(Scholingen!$B$2:$B$200,MATCH(B156,Scholingen!$A$2:$A$200,0)),"?"))</f>
        <v/>
      </c>
      <c r="G156" s="11" t="str">
        <f t="shared" si="7"/>
        <v/>
      </c>
      <c r="H156" s="7" t="str">
        <f ca="1">IF(AND(A156="",B156="",C156="",D156=""),"",IF(OR(A156="",B156="",C156="",D156=""),"Fout: niet alle verplichte velden gevuld",IF(ISNA(MATCH(B156,Scholingen!$A$2:$A$200,0)),"Fout: C_ID bestaat niet in Scholingen",IF(OR(NOT(ISNUMBER(C156)),NOT(ISNUMBER(D156))),"Fout: begin-/eindtijd is geen datum+tijd",IF(D156&lt;=C156,"Fout: eindtijd ligt niet na begintijd",IF(INT(D156)&lt;&gt;INT(C156),"Fout: eindigt op een andere dag (één regel per dag)",IF(COUNTIFS($A$2:$A$200,A156,$B$2:$B$200,B156,$C$2:$C$200,C156)&gt;1,"Fout: dubbele inschrijving",IF(C156&lt;TODAY(),"Let op: ligt in het verleden, wordt geen dienst","OK"))))))))</f>
        <v/>
      </c>
    </row>
    <row r="157" spans="1:8" x14ac:dyDescent="0.25">
      <c r="A157" s="8"/>
      <c r="B157" s="5"/>
      <c r="C157" s="9"/>
      <c r="D157" s="9"/>
      <c r="E157" s="10"/>
      <c r="F157" s="7" t="str">
        <f>IF(B157="","",IFERROR(INDEX(Scholingen!$B$2:$B$200,MATCH(B157,Scholingen!$A$2:$A$200,0)),"?"))</f>
        <v/>
      </c>
      <c r="G157" s="11" t="str">
        <f t="shared" si="7"/>
        <v/>
      </c>
      <c r="H157" s="7" t="str">
        <f ca="1">IF(AND(A157="",B157="",C157="",D157=""),"",IF(OR(A157="",B157="",C157="",D157=""),"Fout: niet alle verplichte velden gevuld",IF(ISNA(MATCH(B157,Scholingen!$A$2:$A$200,0)),"Fout: C_ID bestaat niet in Scholingen",IF(OR(NOT(ISNUMBER(C157)),NOT(ISNUMBER(D157))),"Fout: begin-/eindtijd is geen datum+tijd",IF(D157&lt;=C157,"Fout: eindtijd ligt niet na begintijd",IF(INT(D157)&lt;&gt;INT(C157),"Fout: eindigt op een andere dag (één regel per dag)",IF(COUNTIFS($A$2:$A$200,A157,$B$2:$B$200,B157,$C$2:$C$200,C157)&gt;1,"Fout: dubbele inschrijving",IF(C157&lt;TODAY(),"Let op: ligt in het verleden, wordt geen dienst","OK"))))))))</f>
        <v/>
      </c>
    </row>
    <row r="158" spans="1:8" x14ac:dyDescent="0.25">
      <c r="A158" s="8"/>
      <c r="B158" s="5"/>
      <c r="C158" s="9"/>
      <c r="D158" s="9"/>
      <c r="E158" s="10"/>
      <c r="F158" s="7" t="str">
        <f>IF(B158="","",IFERROR(INDEX(Scholingen!$B$2:$B$200,MATCH(B158,Scholingen!$A$2:$A$200,0)),"?"))</f>
        <v/>
      </c>
      <c r="G158" s="11" t="str">
        <f t="shared" si="7"/>
        <v/>
      </c>
      <c r="H158" s="7" t="str">
        <f ca="1">IF(AND(A158="",B158="",C158="",D158=""),"",IF(OR(A158="",B158="",C158="",D158=""),"Fout: niet alle verplichte velden gevuld",IF(ISNA(MATCH(B158,Scholingen!$A$2:$A$200,0)),"Fout: C_ID bestaat niet in Scholingen",IF(OR(NOT(ISNUMBER(C158)),NOT(ISNUMBER(D158))),"Fout: begin-/eindtijd is geen datum+tijd",IF(D158&lt;=C158,"Fout: eindtijd ligt niet na begintijd",IF(INT(D158)&lt;&gt;INT(C158),"Fout: eindigt op een andere dag (één regel per dag)",IF(COUNTIFS($A$2:$A$200,A158,$B$2:$B$200,B158,$C$2:$C$200,C158)&gt;1,"Fout: dubbele inschrijving",IF(C158&lt;TODAY(),"Let op: ligt in het verleden, wordt geen dienst","OK"))))))))</f>
        <v/>
      </c>
    </row>
    <row r="159" spans="1:8" x14ac:dyDescent="0.25">
      <c r="A159" s="8"/>
      <c r="B159" s="5"/>
      <c r="C159" s="9"/>
      <c r="D159" s="9"/>
      <c r="E159" s="10"/>
      <c r="F159" s="7" t="str">
        <f>IF(B159="","",IFERROR(INDEX(Scholingen!$B$2:$B$200,MATCH(B159,Scholingen!$A$2:$A$200,0)),"?"))</f>
        <v/>
      </c>
      <c r="G159" s="11" t="str">
        <f t="shared" si="7"/>
        <v/>
      </c>
      <c r="H159" s="7" t="str">
        <f ca="1">IF(AND(A159="",B159="",C159="",D159=""),"",IF(OR(A159="",B159="",C159="",D159=""),"Fout: niet alle verplichte velden gevuld",IF(ISNA(MATCH(B159,Scholingen!$A$2:$A$200,0)),"Fout: C_ID bestaat niet in Scholingen",IF(OR(NOT(ISNUMBER(C159)),NOT(ISNUMBER(D159))),"Fout: begin-/eindtijd is geen datum+tijd",IF(D159&lt;=C159,"Fout: eindtijd ligt niet na begintijd",IF(INT(D159)&lt;&gt;INT(C159),"Fout: eindigt op een andere dag (één regel per dag)",IF(COUNTIFS($A$2:$A$200,A159,$B$2:$B$200,B159,$C$2:$C$200,C159)&gt;1,"Fout: dubbele inschrijving",IF(C159&lt;TODAY(),"Let op: ligt in het verleden, wordt geen dienst","OK"))))))))</f>
        <v/>
      </c>
    </row>
    <row r="160" spans="1:8" x14ac:dyDescent="0.25">
      <c r="A160" s="8"/>
      <c r="B160" s="5"/>
      <c r="C160" s="9"/>
      <c r="D160" s="9"/>
      <c r="E160" s="10"/>
      <c r="F160" s="7" t="str">
        <f>IF(B160="","",IFERROR(INDEX(Scholingen!$B$2:$B$200,MATCH(B160,Scholingen!$A$2:$A$200,0)),"?"))</f>
        <v/>
      </c>
      <c r="G160" s="11" t="str">
        <f t="shared" si="7"/>
        <v/>
      </c>
      <c r="H160" s="7" t="str">
        <f ca="1">IF(AND(A160="",B160="",C160="",D160=""),"",IF(OR(A160="",B160="",C160="",D160=""),"Fout: niet alle verplichte velden gevuld",IF(ISNA(MATCH(B160,Scholingen!$A$2:$A$200,0)),"Fout: C_ID bestaat niet in Scholingen",IF(OR(NOT(ISNUMBER(C160)),NOT(ISNUMBER(D160))),"Fout: begin-/eindtijd is geen datum+tijd",IF(D160&lt;=C160,"Fout: eindtijd ligt niet na begintijd",IF(INT(D160)&lt;&gt;INT(C160),"Fout: eindigt op een andere dag (één regel per dag)",IF(COUNTIFS($A$2:$A$200,A160,$B$2:$B$200,B160,$C$2:$C$200,C160)&gt;1,"Fout: dubbele inschrijving",IF(C160&lt;TODAY(),"Let op: ligt in het verleden, wordt geen dienst","OK"))))))))</f>
        <v/>
      </c>
    </row>
    <row r="161" spans="1:8" x14ac:dyDescent="0.25">
      <c r="A161" s="8"/>
      <c r="B161" s="5"/>
      <c r="C161" s="9"/>
      <c r="D161" s="9"/>
      <c r="E161" s="10"/>
      <c r="F161" s="7" t="str">
        <f>IF(B161="","",IFERROR(INDEX(Scholingen!$B$2:$B$200,MATCH(B161,Scholingen!$A$2:$A$200,0)),"?"))</f>
        <v/>
      </c>
      <c r="G161" s="11" t="str">
        <f t="shared" si="7"/>
        <v/>
      </c>
      <c r="H161" s="7" t="str">
        <f ca="1">IF(AND(A161="",B161="",C161="",D161=""),"",IF(OR(A161="",B161="",C161="",D161=""),"Fout: niet alle verplichte velden gevuld",IF(ISNA(MATCH(B161,Scholingen!$A$2:$A$200,0)),"Fout: C_ID bestaat niet in Scholingen",IF(OR(NOT(ISNUMBER(C161)),NOT(ISNUMBER(D161))),"Fout: begin-/eindtijd is geen datum+tijd",IF(D161&lt;=C161,"Fout: eindtijd ligt niet na begintijd",IF(INT(D161)&lt;&gt;INT(C161),"Fout: eindigt op een andere dag (één regel per dag)",IF(COUNTIFS($A$2:$A$200,A161,$B$2:$B$200,B161,$C$2:$C$200,C161)&gt;1,"Fout: dubbele inschrijving",IF(C161&lt;TODAY(),"Let op: ligt in het verleden, wordt geen dienst","OK"))))))))</f>
        <v/>
      </c>
    </row>
    <row r="162" spans="1:8" x14ac:dyDescent="0.25">
      <c r="A162" s="8"/>
      <c r="B162" s="5"/>
      <c r="C162" s="9"/>
      <c r="D162" s="9"/>
      <c r="E162" s="10"/>
      <c r="F162" s="7" t="str">
        <f>IF(B162="","",IFERROR(INDEX(Scholingen!$B$2:$B$200,MATCH(B162,Scholingen!$A$2:$A$200,0)),"?"))</f>
        <v/>
      </c>
      <c r="G162" s="11" t="str">
        <f t="shared" ref="G162:G193" si="8">IF(AND(ISNUMBER(C162),ISNUMBER(D162)),(D162-C162)*24,"")</f>
        <v/>
      </c>
      <c r="H162" s="7" t="str">
        <f ca="1">IF(AND(A162="",B162="",C162="",D162=""),"",IF(OR(A162="",B162="",C162="",D162=""),"Fout: niet alle verplichte velden gevuld",IF(ISNA(MATCH(B162,Scholingen!$A$2:$A$200,0)),"Fout: C_ID bestaat niet in Scholingen",IF(OR(NOT(ISNUMBER(C162)),NOT(ISNUMBER(D162))),"Fout: begin-/eindtijd is geen datum+tijd",IF(D162&lt;=C162,"Fout: eindtijd ligt niet na begintijd",IF(INT(D162)&lt;&gt;INT(C162),"Fout: eindigt op een andere dag (één regel per dag)",IF(COUNTIFS($A$2:$A$200,A162,$B$2:$B$200,B162,$C$2:$C$200,C162)&gt;1,"Fout: dubbele inschrijving",IF(C162&lt;TODAY(),"Let op: ligt in het verleden, wordt geen dienst","OK"))))))))</f>
        <v/>
      </c>
    </row>
    <row r="163" spans="1:8" x14ac:dyDescent="0.25">
      <c r="A163" s="8"/>
      <c r="B163" s="5"/>
      <c r="C163" s="9"/>
      <c r="D163" s="9"/>
      <c r="E163" s="10"/>
      <c r="F163" s="7" t="str">
        <f>IF(B163="","",IFERROR(INDEX(Scholingen!$B$2:$B$200,MATCH(B163,Scholingen!$A$2:$A$200,0)),"?"))</f>
        <v/>
      </c>
      <c r="G163" s="11" t="str">
        <f t="shared" si="8"/>
        <v/>
      </c>
      <c r="H163" s="7" t="str">
        <f ca="1">IF(AND(A163="",B163="",C163="",D163=""),"",IF(OR(A163="",B163="",C163="",D163=""),"Fout: niet alle verplichte velden gevuld",IF(ISNA(MATCH(B163,Scholingen!$A$2:$A$200,0)),"Fout: C_ID bestaat niet in Scholingen",IF(OR(NOT(ISNUMBER(C163)),NOT(ISNUMBER(D163))),"Fout: begin-/eindtijd is geen datum+tijd",IF(D163&lt;=C163,"Fout: eindtijd ligt niet na begintijd",IF(INT(D163)&lt;&gt;INT(C163),"Fout: eindigt op een andere dag (één regel per dag)",IF(COUNTIFS($A$2:$A$200,A163,$B$2:$B$200,B163,$C$2:$C$200,C163)&gt;1,"Fout: dubbele inschrijving",IF(C163&lt;TODAY(),"Let op: ligt in het verleden, wordt geen dienst","OK"))))))))</f>
        <v/>
      </c>
    </row>
    <row r="164" spans="1:8" x14ac:dyDescent="0.25">
      <c r="A164" s="8"/>
      <c r="B164" s="5"/>
      <c r="C164" s="9"/>
      <c r="D164" s="9"/>
      <c r="E164" s="10"/>
      <c r="F164" s="7" t="str">
        <f>IF(B164="","",IFERROR(INDEX(Scholingen!$B$2:$B$200,MATCH(B164,Scholingen!$A$2:$A$200,0)),"?"))</f>
        <v/>
      </c>
      <c r="G164" s="11" t="str">
        <f t="shared" si="8"/>
        <v/>
      </c>
      <c r="H164" s="7" t="str">
        <f ca="1">IF(AND(A164="",B164="",C164="",D164=""),"",IF(OR(A164="",B164="",C164="",D164=""),"Fout: niet alle verplichte velden gevuld",IF(ISNA(MATCH(B164,Scholingen!$A$2:$A$200,0)),"Fout: C_ID bestaat niet in Scholingen",IF(OR(NOT(ISNUMBER(C164)),NOT(ISNUMBER(D164))),"Fout: begin-/eindtijd is geen datum+tijd",IF(D164&lt;=C164,"Fout: eindtijd ligt niet na begintijd",IF(INT(D164)&lt;&gt;INT(C164),"Fout: eindigt op een andere dag (één regel per dag)",IF(COUNTIFS($A$2:$A$200,A164,$B$2:$B$200,B164,$C$2:$C$200,C164)&gt;1,"Fout: dubbele inschrijving",IF(C164&lt;TODAY(),"Let op: ligt in het verleden, wordt geen dienst","OK"))))))))</f>
        <v/>
      </c>
    </row>
    <row r="165" spans="1:8" x14ac:dyDescent="0.25">
      <c r="A165" s="8"/>
      <c r="B165" s="5"/>
      <c r="C165" s="9"/>
      <c r="D165" s="9"/>
      <c r="E165" s="10"/>
      <c r="F165" s="7" t="str">
        <f>IF(B165="","",IFERROR(INDEX(Scholingen!$B$2:$B$200,MATCH(B165,Scholingen!$A$2:$A$200,0)),"?"))</f>
        <v/>
      </c>
      <c r="G165" s="11" t="str">
        <f t="shared" si="8"/>
        <v/>
      </c>
      <c r="H165" s="7" t="str">
        <f ca="1">IF(AND(A165="",B165="",C165="",D165=""),"",IF(OR(A165="",B165="",C165="",D165=""),"Fout: niet alle verplichte velden gevuld",IF(ISNA(MATCH(B165,Scholingen!$A$2:$A$200,0)),"Fout: C_ID bestaat niet in Scholingen",IF(OR(NOT(ISNUMBER(C165)),NOT(ISNUMBER(D165))),"Fout: begin-/eindtijd is geen datum+tijd",IF(D165&lt;=C165,"Fout: eindtijd ligt niet na begintijd",IF(INT(D165)&lt;&gt;INT(C165),"Fout: eindigt op een andere dag (één regel per dag)",IF(COUNTIFS($A$2:$A$200,A165,$B$2:$B$200,B165,$C$2:$C$200,C165)&gt;1,"Fout: dubbele inschrijving",IF(C165&lt;TODAY(),"Let op: ligt in het verleden, wordt geen dienst","OK"))))))))</f>
        <v/>
      </c>
    </row>
    <row r="166" spans="1:8" x14ac:dyDescent="0.25">
      <c r="A166" s="8"/>
      <c r="B166" s="5"/>
      <c r="C166" s="9"/>
      <c r="D166" s="9"/>
      <c r="E166" s="10"/>
      <c r="F166" s="7" t="str">
        <f>IF(B166="","",IFERROR(INDEX(Scholingen!$B$2:$B$200,MATCH(B166,Scholingen!$A$2:$A$200,0)),"?"))</f>
        <v/>
      </c>
      <c r="G166" s="11" t="str">
        <f t="shared" si="8"/>
        <v/>
      </c>
      <c r="H166" s="7" t="str">
        <f ca="1">IF(AND(A166="",B166="",C166="",D166=""),"",IF(OR(A166="",B166="",C166="",D166=""),"Fout: niet alle verplichte velden gevuld",IF(ISNA(MATCH(B166,Scholingen!$A$2:$A$200,0)),"Fout: C_ID bestaat niet in Scholingen",IF(OR(NOT(ISNUMBER(C166)),NOT(ISNUMBER(D166))),"Fout: begin-/eindtijd is geen datum+tijd",IF(D166&lt;=C166,"Fout: eindtijd ligt niet na begintijd",IF(INT(D166)&lt;&gt;INT(C166),"Fout: eindigt op een andere dag (één regel per dag)",IF(COUNTIFS($A$2:$A$200,A166,$B$2:$B$200,B166,$C$2:$C$200,C166)&gt;1,"Fout: dubbele inschrijving",IF(C166&lt;TODAY(),"Let op: ligt in het verleden, wordt geen dienst","OK"))))))))</f>
        <v/>
      </c>
    </row>
    <row r="167" spans="1:8" x14ac:dyDescent="0.25">
      <c r="A167" s="8"/>
      <c r="B167" s="5"/>
      <c r="C167" s="9"/>
      <c r="D167" s="9"/>
      <c r="E167" s="10"/>
      <c r="F167" s="7" t="str">
        <f>IF(B167="","",IFERROR(INDEX(Scholingen!$B$2:$B$200,MATCH(B167,Scholingen!$A$2:$A$200,0)),"?"))</f>
        <v/>
      </c>
      <c r="G167" s="11" t="str">
        <f t="shared" si="8"/>
        <v/>
      </c>
      <c r="H167" s="7" t="str">
        <f ca="1">IF(AND(A167="",B167="",C167="",D167=""),"",IF(OR(A167="",B167="",C167="",D167=""),"Fout: niet alle verplichte velden gevuld",IF(ISNA(MATCH(B167,Scholingen!$A$2:$A$200,0)),"Fout: C_ID bestaat niet in Scholingen",IF(OR(NOT(ISNUMBER(C167)),NOT(ISNUMBER(D167))),"Fout: begin-/eindtijd is geen datum+tijd",IF(D167&lt;=C167,"Fout: eindtijd ligt niet na begintijd",IF(INT(D167)&lt;&gt;INT(C167),"Fout: eindigt op een andere dag (één regel per dag)",IF(COUNTIFS($A$2:$A$200,A167,$B$2:$B$200,B167,$C$2:$C$200,C167)&gt;1,"Fout: dubbele inschrijving",IF(C167&lt;TODAY(),"Let op: ligt in het verleden, wordt geen dienst","OK"))))))))</f>
        <v/>
      </c>
    </row>
    <row r="168" spans="1:8" x14ac:dyDescent="0.25">
      <c r="A168" s="8"/>
      <c r="B168" s="5"/>
      <c r="C168" s="9"/>
      <c r="D168" s="9"/>
      <c r="E168" s="10"/>
      <c r="F168" s="7" t="str">
        <f>IF(B168="","",IFERROR(INDEX(Scholingen!$B$2:$B$200,MATCH(B168,Scholingen!$A$2:$A$200,0)),"?"))</f>
        <v/>
      </c>
      <c r="G168" s="11" t="str">
        <f t="shared" si="8"/>
        <v/>
      </c>
      <c r="H168" s="7" t="str">
        <f ca="1">IF(AND(A168="",B168="",C168="",D168=""),"",IF(OR(A168="",B168="",C168="",D168=""),"Fout: niet alle verplichte velden gevuld",IF(ISNA(MATCH(B168,Scholingen!$A$2:$A$200,0)),"Fout: C_ID bestaat niet in Scholingen",IF(OR(NOT(ISNUMBER(C168)),NOT(ISNUMBER(D168))),"Fout: begin-/eindtijd is geen datum+tijd",IF(D168&lt;=C168,"Fout: eindtijd ligt niet na begintijd",IF(INT(D168)&lt;&gt;INT(C168),"Fout: eindigt op een andere dag (één regel per dag)",IF(COUNTIFS($A$2:$A$200,A168,$B$2:$B$200,B168,$C$2:$C$200,C168)&gt;1,"Fout: dubbele inschrijving",IF(C168&lt;TODAY(),"Let op: ligt in het verleden, wordt geen dienst","OK"))))))))</f>
        <v/>
      </c>
    </row>
    <row r="169" spans="1:8" x14ac:dyDescent="0.25">
      <c r="A169" s="8"/>
      <c r="B169" s="5"/>
      <c r="C169" s="9"/>
      <c r="D169" s="9"/>
      <c r="E169" s="10"/>
      <c r="F169" s="7" t="str">
        <f>IF(B169="","",IFERROR(INDEX(Scholingen!$B$2:$B$200,MATCH(B169,Scholingen!$A$2:$A$200,0)),"?"))</f>
        <v/>
      </c>
      <c r="G169" s="11" t="str">
        <f t="shared" si="8"/>
        <v/>
      </c>
      <c r="H169" s="7" t="str">
        <f ca="1">IF(AND(A169="",B169="",C169="",D169=""),"",IF(OR(A169="",B169="",C169="",D169=""),"Fout: niet alle verplichte velden gevuld",IF(ISNA(MATCH(B169,Scholingen!$A$2:$A$200,0)),"Fout: C_ID bestaat niet in Scholingen",IF(OR(NOT(ISNUMBER(C169)),NOT(ISNUMBER(D169))),"Fout: begin-/eindtijd is geen datum+tijd",IF(D169&lt;=C169,"Fout: eindtijd ligt niet na begintijd",IF(INT(D169)&lt;&gt;INT(C169),"Fout: eindigt op een andere dag (één regel per dag)",IF(COUNTIFS($A$2:$A$200,A169,$B$2:$B$200,B169,$C$2:$C$200,C169)&gt;1,"Fout: dubbele inschrijving",IF(C169&lt;TODAY(),"Let op: ligt in het verleden, wordt geen dienst","OK"))))))))</f>
        <v/>
      </c>
    </row>
    <row r="170" spans="1:8" x14ac:dyDescent="0.25">
      <c r="A170" s="8"/>
      <c r="B170" s="5"/>
      <c r="C170" s="9"/>
      <c r="D170" s="9"/>
      <c r="E170" s="10"/>
      <c r="F170" s="7" t="str">
        <f>IF(B170="","",IFERROR(INDEX(Scholingen!$B$2:$B$200,MATCH(B170,Scholingen!$A$2:$A$200,0)),"?"))</f>
        <v/>
      </c>
      <c r="G170" s="11" t="str">
        <f t="shared" si="8"/>
        <v/>
      </c>
      <c r="H170" s="7" t="str">
        <f ca="1">IF(AND(A170="",B170="",C170="",D170=""),"",IF(OR(A170="",B170="",C170="",D170=""),"Fout: niet alle verplichte velden gevuld",IF(ISNA(MATCH(B170,Scholingen!$A$2:$A$200,0)),"Fout: C_ID bestaat niet in Scholingen",IF(OR(NOT(ISNUMBER(C170)),NOT(ISNUMBER(D170))),"Fout: begin-/eindtijd is geen datum+tijd",IF(D170&lt;=C170,"Fout: eindtijd ligt niet na begintijd",IF(INT(D170)&lt;&gt;INT(C170),"Fout: eindigt op een andere dag (één regel per dag)",IF(COUNTIFS($A$2:$A$200,A170,$B$2:$B$200,B170,$C$2:$C$200,C170)&gt;1,"Fout: dubbele inschrijving",IF(C170&lt;TODAY(),"Let op: ligt in het verleden, wordt geen dienst","OK"))))))))</f>
        <v/>
      </c>
    </row>
    <row r="171" spans="1:8" x14ac:dyDescent="0.25">
      <c r="A171" s="8"/>
      <c r="B171" s="5"/>
      <c r="C171" s="9"/>
      <c r="D171" s="9"/>
      <c r="E171" s="10"/>
      <c r="F171" s="7" t="str">
        <f>IF(B171="","",IFERROR(INDEX(Scholingen!$B$2:$B$200,MATCH(B171,Scholingen!$A$2:$A$200,0)),"?"))</f>
        <v/>
      </c>
      <c r="G171" s="11" t="str">
        <f t="shared" si="8"/>
        <v/>
      </c>
      <c r="H171" s="7" t="str">
        <f ca="1">IF(AND(A171="",B171="",C171="",D171=""),"",IF(OR(A171="",B171="",C171="",D171=""),"Fout: niet alle verplichte velden gevuld",IF(ISNA(MATCH(B171,Scholingen!$A$2:$A$200,0)),"Fout: C_ID bestaat niet in Scholingen",IF(OR(NOT(ISNUMBER(C171)),NOT(ISNUMBER(D171))),"Fout: begin-/eindtijd is geen datum+tijd",IF(D171&lt;=C171,"Fout: eindtijd ligt niet na begintijd",IF(INT(D171)&lt;&gt;INT(C171),"Fout: eindigt op een andere dag (één regel per dag)",IF(COUNTIFS($A$2:$A$200,A171,$B$2:$B$200,B171,$C$2:$C$200,C171)&gt;1,"Fout: dubbele inschrijving",IF(C171&lt;TODAY(),"Let op: ligt in het verleden, wordt geen dienst","OK"))))))))</f>
        <v/>
      </c>
    </row>
    <row r="172" spans="1:8" x14ac:dyDescent="0.25">
      <c r="A172" s="8"/>
      <c r="B172" s="5"/>
      <c r="C172" s="9"/>
      <c r="D172" s="9"/>
      <c r="E172" s="10"/>
      <c r="F172" s="7" t="str">
        <f>IF(B172="","",IFERROR(INDEX(Scholingen!$B$2:$B$200,MATCH(B172,Scholingen!$A$2:$A$200,0)),"?"))</f>
        <v/>
      </c>
      <c r="G172" s="11" t="str">
        <f t="shared" si="8"/>
        <v/>
      </c>
      <c r="H172" s="7" t="str">
        <f ca="1">IF(AND(A172="",B172="",C172="",D172=""),"",IF(OR(A172="",B172="",C172="",D172=""),"Fout: niet alle verplichte velden gevuld",IF(ISNA(MATCH(B172,Scholingen!$A$2:$A$200,0)),"Fout: C_ID bestaat niet in Scholingen",IF(OR(NOT(ISNUMBER(C172)),NOT(ISNUMBER(D172))),"Fout: begin-/eindtijd is geen datum+tijd",IF(D172&lt;=C172,"Fout: eindtijd ligt niet na begintijd",IF(INT(D172)&lt;&gt;INT(C172),"Fout: eindigt op een andere dag (één regel per dag)",IF(COUNTIFS($A$2:$A$200,A172,$B$2:$B$200,B172,$C$2:$C$200,C172)&gt;1,"Fout: dubbele inschrijving",IF(C172&lt;TODAY(),"Let op: ligt in het verleden, wordt geen dienst","OK"))))))))</f>
        <v/>
      </c>
    </row>
    <row r="173" spans="1:8" x14ac:dyDescent="0.25">
      <c r="A173" s="8"/>
      <c r="B173" s="5"/>
      <c r="C173" s="9"/>
      <c r="D173" s="9"/>
      <c r="E173" s="10"/>
      <c r="F173" s="7" t="str">
        <f>IF(B173="","",IFERROR(INDEX(Scholingen!$B$2:$B$200,MATCH(B173,Scholingen!$A$2:$A$200,0)),"?"))</f>
        <v/>
      </c>
      <c r="G173" s="11" t="str">
        <f t="shared" si="8"/>
        <v/>
      </c>
      <c r="H173" s="7" t="str">
        <f ca="1">IF(AND(A173="",B173="",C173="",D173=""),"",IF(OR(A173="",B173="",C173="",D173=""),"Fout: niet alle verplichte velden gevuld",IF(ISNA(MATCH(B173,Scholingen!$A$2:$A$200,0)),"Fout: C_ID bestaat niet in Scholingen",IF(OR(NOT(ISNUMBER(C173)),NOT(ISNUMBER(D173))),"Fout: begin-/eindtijd is geen datum+tijd",IF(D173&lt;=C173,"Fout: eindtijd ligt niet na begintijd",IF(INT(D173)&lt;&gt;INT(C173),"Fout: eindigt op een andere dag (één regel per dag)",IF(COUNTIFS($A$2:$A$200,A173,$B$2:$B$200,B173,$C$2:$C$200,C173)&gt;1,"Fout: dubbele inschrijving",IF(C173&lt;TODAY(),"Let op: ligt in het verleden, wordt geen dienst","OK"))))))))</f>
        <v/>
      </c>
    </row>
    <row r="174" spans="1:8" x14ac:dyDescent="0.25">
      <c r="A174" s="8"/>
      <c r="B174" s="5"/>
      <c r="C174" s="9"/>
      <c r="D174" s="9"/>
      <c r="E174" s="10"/>
      <c r="F174" s="7" t="str">
        <f>IF(B174="","",IFERROR(INDEX(Scholingen!$B$2:$B$200,MATCH(B174,Scholingen!$A$2:$A$200,0)),"?"))</f>
        <v/>
      </c>
      <c r="G174" s="11" t="str">
        <f t="shared" si="8"/>
        <v/>
      </c>
      <c r="H174" s="7" t="str">
        <f ca="1">IF(AND(A174="",B174="",C174="",D174=""),"",IF(OR(A174="",B174="",C174="",D174=""),"Fout: niet alle verplichte velden gevuld",IF(ISNA(MATCH(B174,Scholingen!$A$2:$A$200,0)),"Fout: C_ID bestaat niet in Scholingen",IF(OR(NOT(ISNUMBER(C174)),NOT(ISNUMBER(D174))),"Fout: begin-/eindtijd is geen datum+tijd",IF(D174&lt;=C174,"Fout: eindtijd ligt niet na begintijd",IF(INT(D174)&lt;&gt;INT(C174),"Fout: eindigt op een andere dag (één regel per dag)",IF(COUNTIFS($A$2:$A$200,A174,$B$2:$B$200,B174,$C$2:$C$200,C174)&gt;1,"Fout: dubbele inschrijving",IF(C174&lt;TODAY(),"Let op: ligt in het verleden, wordt geen dienst","OK"))))))))</f>
        <v/>
      </c>
    </row>
    <row r="175" spans="1:8" x14ac:dyDescent="0.25">
      <c r="A175" s="8"/>
      <c r="B175" s="5"/>
      <c r="C175" s="9"/>
      <c r="D175" s="9"/>
      <c r="E175" s="10"/>
      <c r="F175" s="7" t="str">
        <f>IF(B175="","",IFERROR(INDEX(Scholingen!$B$2:$B$200,MATCH(B175,Scholingen!$A$2:$A$200,0)),"?"))</f>
        <v/>
      </c>
      <c r="G175" s="11" t="str">
        <f t="shared" si="8"/>
        <v/>
      </c>
      <c r="H175" s="7" t="str">
        <f ca="1">IF(AND(A175="",B175="",C175="",D175=""),"",IF(OR(A175="",B175="",C175="",D175=""),"Fout: niet alle verplichte velden gevuld",IF(ISNA(MATCH(B175,Scholingen!$A$2:$A$200,0)),"Fout: C_ID bestaat niet in Scholingen",IF(OR(NOT(ISNUMBER(C175)),NOT(ISNUMBER(D175))),"Fout: begin-/eindtijd is geen datum+tijd",IF(D175&lt;=C175,"Fout: eindtijd ligt niet na begintijd",IF(INT(D175)&lt;&gt;INT(C175),"Fout: eindigt op een andere dag (één regel per dag)",IF(COUNTIFS($A$2:$A$200,A175,$B$2:$B$200,B175,$C$2:$C$200,C175)&gt;1,"Fout: dubbele inschrijving",IF(C175&lt;TODAY(),"Let op: ligt in het verleden, wordt geen dienst","OK"))))))))</f>
        <v/>
      </c>
    </row>
    <row r="176" spans="1:8" x14ac:dyDescent="0.25">
      <c r="A176" s="8"/>
      <c r="B176" s="5"/>
      <c r="C176" s="9"/>
      <c r="D176" s="9"/>
      <c r="E176" s="10"/>
      <c r="F176" s="7" t="str">
        <f>IF(B176="","",IFERROR(INDEX(Scholingen!$B$2:$B$200,MATCH(B176,Scholingen!$A$2:$A$200,0)),"?"))</f>
        <v/>
      </c>
      <c r="G176" s="11" t="str">
        <f t="shared" si="8"/>
        <v/>
      </c>
      <c r="H176" s="7" t="str">
        <f ca="1">IF(AND(A176="",B176="",C176="",D176=""),"",IF(OR(A176="",B176="",C176="",D176=""),"Fout: niet alle verplichte velden gevuld",IF(ISNA(MATCH(B176,Scholingen!$A$2:$A$200,0)),"Fout: C_ID bestaat niet in Scholingen",IF(OR(NOT(ISNUMBER(C176)),NOT(ISNUMBER(D176))),"Fout: begin-/eindtijd is geen datum+tijd",IF(D176&lt;=C176,"Fout: eindtijd ligt niet na begintijd",IF(INT(D176)&lt;&gt;INT(C176),"Fout: eindigt op een andere dag (één regel per dag)",IF(COUNTIFS($A$2:$A$200,A176,$B$2:$B$200,B176,$C$2:$C$200,C176)&gt;1,"Fout: dubbele inschrijving",IF(C176&lt;TODAY(),"Let op: ligt in het verleden, wordt geen dienst","OK"))))))))</f>
        <v/>
      </c>
    </row>
    <row r="177" spans="1:8" x14ac:dyDescent="0.25">
      <c r="A177" s="8"/>
      <c r="B177" s="5"/>
      <c r="C177" s="9"/>
      <c r="D177" s="9"/>
      <c r="E177" s="10"/>
      <c r="F177" s="7" t="str">
        <f>IF(B177="","",IFERROR(INDEX(Scholingen!$B$2:$B$200,MATCH(B177,Scholingen!$A$2:$A$200,0)),"?"))</f>
        <v/>
      </c>
      <c r="G177" s="11" t="str">
        <f t="shared" si="8"/>
        <v/>
      </c>
      <c r="H177" s="7" t="str">
        <f ca="1">IF(AND(A177="",B177="",C177="",D177=""),"",IF(OR(A177="",B177="",C177="",D177=""),"Fout: niet alle verplichte velden gevuld",IF(ISNA(MATCH(B177,Scholingen!$A$2:$A$200,0)),"Fout: C_ID bestaat niet in Scholingen",IF(OR(NOT(ISNUMBER(C177)),NOT(ISNUMBER(D177))),"Fout: begin-/eindtijd is geen datum+tijd",IF(D177&lt;=C177,"Fout: eindtijd ligt niet na begintijd",IF(INT(D177)&lt;&gt;INT(C177),"Fout: eindigt op een andere dag (één regel per dag)",IF(COUNTIFS($A$2:$A$200,A177,$B$2:$B$200,B177,$C$2:$C$200,C177)&gt;1,"Fout: dubbele inschrijving",IF(C177&lt;TODAY(),"Let op: ligt in het verleden, wordt geen dienst","OK"))))))))</f>
        <v/>
      </c>
    </row>
    <row r="178" spans="1:8" x14ac:dyDescent="0.25">
      <c r="A178" s="8"/>
      <c r="B178" s="5"/>
      <c r="C178" s="9"/>
      <c r="D178" s="9"/>
      <c r="E178" s="10"/>
      <c r="F178" s="7" t="str">
        <f>IF(B178="","",IFERROR(INDEX(Scholingen!$B$2:$B$200,MATCH(B178,Scholingen!$A$2:$A$200,0)),"?"))</f>
        <v/>
      </c>
      <c r="G178" s="11" t="str">
        <f t="shared" si="8"/>
        <v/>
      </c>
      <c r="H178" s="7" t="str">
        <f ca="1">IF(AND(A178="",B178="",C178="",D178=""),"",IF(OR(A178="",B178="",C178="",D178=""),"Fout: niet alle verplichte velden gevuld",IF(ISNA(MATCH(B178,Scholingen!$A$2:$A$200,0)),"Fout: C_ID bestaat niet in Scholingen",IF(OR(NOT(ISNUMBER(C178)),NOT(ISNUMBER(D178))),"Fout: begin-/eindtijd is geen datum+tijd",IF(D178&lt;=C178,"Fout: eindtijd ligt niet na begintijd",IF(INT(D178)&lt;&gt;INT(C178),"Fout: eindigt op een andere dag (één regel per dag)",IF(COUNTIFS($A$2:$A$200,A178,$B$2:$B$200,B178,$C$2:$C$200,C178)&gt;1,"Fout: dubbele inschrijving",IF(C178&lt;TODAY(),"Let op: ligt in het verleden, wordt geen dienst","OK"))))))))</f>
        <v/>
      </c>
    </row>
    <row r="179" spans="1:8" x14ac:dyDescent="0.25">
      <c r="A179" s="8"/>
      <c r="B179" s="5"/>
      <c r="C179" s="9"/>
      <c r="D179" s="9"/>
      <c r="E179" s="10"/>
      <c r="F179" s="7" t="str">
        <f>IF(B179="","",IFERROR(INDEX(Scholingen!$B$2:$B$200,MATCH(B179,Scholingen!$A$2:$A$200,0)),"?"))</f>
        <v/>
      </c>
      <c r="G179" s="11" t="str">
        <f t="shared" si="8"/>
        <v/>
      </c>
      <c r="H179" s="7" t="str">
        <f ca="1">IF(AND(A179="",B179="",C179="",D179=""),"",IF(OR(A179="",B179="",C179="",D179=""),"Fout: niet alle verplichte velden gevuld",IF(ISNA(MATCH(B179,Scholingen!$A$2:$A$200,0)),"Fout: C_ID bestaat niet in Scholingen",IF(OR(NOT(ISNUMBER(C179)),NOT(ISNUMBER(D179))),"Fout: begin-/eindtijd is geen datum+tijd",IF(D179&lt;=C179,"Fout: eindtijd ligt niet na begintijd",IF(INT(D179)&lt;&gt;INT(C179),"Fout: eindigt op een andere dag (één regel per dag)",IF(COUNTIFS($A$2:$A$200,A179,$B$2:$B$200,B179,$C$2:$C$200,C179)&gt;1,"Fout: dubbele inschrijving",IF(C179&lt;TODAY(),"Let op: ligt in het verleden, wordt geen dienst","OK"))))))))</f>
        <v/>
      </c>
    </row>
    <row r="180" spans="1:8" x14ac:dyDescent="0.25">
      <c r="A180" s="8"/>
      <c r="B180" s="5"/>
      <c r="C180" s="9"/>
      <c r="D180" s="9"/>
      <c r="E180" s="10"/>
      <c r="F180" s="7" t="str">
        <f>IF(B180="","",IFERROR(INDEX(Scholingen!$B$2:$B$200,MATCH(B180,Scholingen!$A$2:$A$200,0)),"?"))</f>
        <v/>
      </c>
      <c r="G180" s="11" t="str">
        <f t="shared" si="8"/>
        <v/>
      </c>
      <c r="H180" s="7" t="str">
        <f ca="1">IF(AND(A180="",B180="",C180="",D180=""),"",IF(OR(A180="",B180="",C180="",D180=""),"Fout: niet alle verplichte velden gevuld",IF(ISNA(MATCH(B180,Scholingen!$A$2:$A$200,0)),"Fout: C_ID bestaat niet in Scholingen",IF(OR(NOT(ISNUMBER(C180)),NOT(ISNUMBER(D180))),"Fout: begin-/eindtijd is geen datum+tijd",IF(D180&lt;=C180,"Fout: eindtijd ligt niet na begintijd",IF(INT(D180)&lt;&gt;INT(C180),"Fout: eindigt op een andere dag (één regel per dag)",IF(COUNTIFS($A$2:$A$200,A180,$B$2:$B$200,B180,$C$2:$C$200,C180)&gt;1,"Fout: dubbele inschrijving",IF(C180&lt;TODAY(),"Let op: ligt in het verleden, wordt geen dienst","OK"))))))))</f>
        <v/>
      </c>
    </row>
    <row r="181" spans="1:8" x14ac:dyDescent="0.25">
      <c r="A181" s="8"/>
      <c r="B181" s="5"/>
      <c r="C181" s="9"/>
      <c r="D181" s="9"/>
      <c r="E181" s="10"/>
      <c r="F181" s="7" t="str">
        <f>IF(B181="","",IFERROR(INDEX(Scholingen!$B$2:$B$200,MATCH(B181,Scholingen!$A$2:$A$200,0)),"?"))</f>
        <v/>
      </c>
      <c r="G181" s="11" t="str">
        <f t="shared" si="8"/>
        <v/>
      </c>
      <c r="H181" s="7" t="str">
        <f ca="1">IF(AND(A181="",B181="",C181="",D181=""),"",IF(OR(A181="",B181="",C181="",D181=""),"Fout: niet alle verplichte velden gevuld",IF(ISNA(MATCH(B181,Scholingen!$A$2:$A$200,0)),"Fout: C_ID bestaat niet in Scholingen",IF(OR(NOT(ISNUMBER(C181)),NOT(ISNUMBER(D181))),"Fout: begin-/eindtijd is geen datum+tijd",IF(D181&lt;=C181,"Fout: eindtijd ligt niet na begintijd",IF(INT(D181)&lt;&gt;INT(C181),"Fout: eindigt op een andere dag (één regel per dag)",IF(COUNTIFS($A$2:$A$200,A181,$B$2:$B$200,B181,$C$2:$C$200,C181)&gt;1,"Fout: dubbele inschrijving",IF(C181&lt;TODAY(),"Let op: ligt in het verleden, wordt geen dienst","OK"))))))))</f>
        <v/>
      </c>
    </row>
    <row r="182" spans="1:8" x14ac:dyDescent="0.25">
      <c r="A182" s="8"/>
      <c r="B182" s="5"/>
      <c r="C182" s="9"/>
      <c r="D182" s="9"/>
      <c r="E182" s="10"/>
      <c r="F182" s="7" t="str">
        <f>IF(B182="","",IFERROR(INDEX(Scholingen!$B$2:$B$200,MATCH(B182,Scholingen!$A$2:$A$200,0)),"?"))</f>
        <v/>
      </c>
      <c r="G182" s="11" t="str">
        <f t="shared" si="8"/>
        <v/>
      </c>
      <c r="H182" s="7" t="str">
        <f ca="1">IF(AND(A182="",B182="",C182="",D182=""),"",IF(OR(A182="",B182="",C182="",D182=""),"Fout: niet alle verplichte velden gevuld",IF(ISNA(MATCH(B182,Scholingen!$A$2:$A$200,0)),"Fout: C_ID bestaat niet in Scholingen",IF(OR(NOT(ISNUMBER(C182)),NOT(ISNUMBER(D182))),"Fout: begin-/eindtijd is geen datum+tijd",IF(D182&lt;=C182,"Fout: eindtijd ligt niet na begintijd",IF(INT(D182)&lt;&gt;INT(C182),"Fout: eindigt op een andere dag (één regel per dag)",IF(COUNTIFS($A$2:$A$200,A182,$B$2:$B$200,B182,$C$2:$C$200,C182)&gt;1,"Fout: dubbele inschrijving",IF(C182&lt;TODAY(),"Let op: ligt in het verleden, wordt geen dienst","OK"))))))))</f>
        <v/>
      </c>
    </row>
    <row r="183" spans="1:8" x14ac:dyDescent="0.25">
      <c r="A183" s="8"/>
      <c r="B183" s="5"/>
      <c r="C183" s="9"/>
      <c r="D183" s="9"/>
      <c r="E183" s="10"/>
      <c r="F183" s="7" t="str">
        <f>IF(B183="","",IFERROR(INDEX(Scholingen!$B$2:$B$200,MATCH(B183,Scholingen!$A$2:$A$200,0)),"?"))</f>
        <v/>
      </c>
      <c r="G183" s="11" t="str">
        <f t="shared" si="8"/>
        <v/>
      </c>
      <c r="H183" s="7" t="str">
        <f ca="1">IF(AND(A183="",B183="",C183="",D183=""),"",IF(OR(A183="",B183="",C183="",D183=""),"Fout: niet alle verplichte velden gevuld",IF(ISNA(MATCH(B183,Scholingen!$A$2:$A$200,0)),"Fout: C_ID bestaat niet in Scholingen",IF(OR(NOT(ISNUMBER(C183)),NOT(ISNUMBER(D183))),"Fout: begin-/eindtijd is geen datum+tijd",IF(D183&lt;=C183,"Fout: eindtijd ligt niet na begintijd",IF(INT(D183)&lt;&gt;INT(C183),"Fout: eindigt op een andere dag (één regel per dag)",IF(COUNTIFS($A$2:$A$200,A183,$B$2:$B$200,B183,$C$2:$C$200,C183)&gt;1,"Fout: dubbele inschrijving",IF(C183&lt;TODAY(),"Let op: ligt in het verleden, wordt geen dienst","OK"))))))))</f>
        <v/>
      </c>
    </row>
    <row r="184" spans="1:8" x14ac:dyDescent="0.25">
      <c r="A184" s="8"/>
      <c r="B184" s="5"/>
      <c r="C184" s="9"/>
      <c r="D184" s="9"/>
      <c r="E184" s="10"/>
      <c r="F184" s="7" t="str">
        <f>IF(B184="","",IFERROR(INDEX(Scholingen!$B$2:$B$200,MATCH(B184,Scholingen!$A$2:$A$200,0)),"?"))</f>
        <v/>
      </c>
      <c r="G184" s="11" t="str">
        <f t="shared" si="8"/>
        <v/>
      </c>
      <c r="H184" s="7" t="str">
        <f ca="1">IF(AND(A184="",B184="",C184="",D184=""),"",IF(OR(A184="",B184="",C184="",D184=""),"Fout: niet alle verplichte velden gevuld",IF(ISNA(MATCH(B184,Scholingen!$A$2:$A$200,0)),"Fout: C_ID bestaat niet in Scholingen",IF(OR(NOT(ISNUMBER(C184)),NOT(ISNUMBER(D184))),"Fout: begin-/eindtijd is geen datum+tijd",IF(D184&lt;=C184,"Fout: eindtijd ligt niet na begintijd",IF(INT(D184)&lt;&gt;INT(C184),"Fout: eindigt op een andere dag (één regel per dag)",IF(COUNTIFS($A$2:$A$200,A184,$B$2:$B$200,B184,$C$2:$C$200,C184)&gt;1,"Fout: dubbele inschrijving",IF(C184&lt;TODAY(),"Let op: ligt in het verleden, wordt geen dienst","OK"))))))))</f>
        <v/>
      </c>
    </row>
    <row r="185" spans="1:8" x14ac:dyDescent="0.25">
      <c r="A185" s="8"/>
      <c r="B185" s="5"/>
      <c r="C185" s="9"/>
      <c r="D185" s="9"/>
      <c r="E185" s="10"/>
      <c r="F185" s="7" t="str">
        <f>IF(B185="","",IFERROR(INDEX(Scholingen!$B$2:$B$200,MATCH(B185,Scholingen!$A$2:$A$200,0)),"?"))</f>
        <v/>
      </c>
      <c r="G185" s="11" t="str">
        <f t="shared" si="8"/>
        <v/>
      </c>
      <c r="H185" s="7" t="str">
        <f ca="1">IF(AND(A185="",B185="",C185="",D185=""),"",IF(OR(A185="",B185="",C185="",D185=""),"Fout: niet alle verplichte velden gevuld",IF(ISNA(MATCH(B185,Scholingen!$A$2:$A$200,0)),"Fout: C_ID bestaat niet in Scholingen",IF(OR(NOT(ISNUMBER(C185)),NOT(ISNUMBER(D185))),"Fout: begin-/eindtijd is geen datum+tijd",IF(D185&lt;=C185,"Fout: eindtijd ligt niet na begintijd",IF(INT(D185)&lt;&gt;INT(C185),"Fout: eindigt op een andere dag (één regel per dag)",IF(COUNTIFS($A$2:$A$200,A185,$B$2:$B$200,B185,$C$2:$C$200,C185)&gt;1,"Fout: dubbele inschrijving",IF(C185&lt;TODAY(),"Let op: ligt in het verleden, wordt geen dienst","OK"))))))))</f>
        <v/>
      </c>
    </row>
    <row r="186" spans="1:8" x14ac:dyDescent="0.25">
      <c r="A186" s="8"/>
      <c r="B186" s="5"/>
      <c r="C186" s="9"/>
      <c r="D186" s="9"/>
      <c r="E186" s="10"/>
      <c r="F186" s="7" t="str">
        <f>IF(B186="","",IFERROR(INDEX(Scholingen!$B$2:$B$200,MATCH(B186,Scholingen!$A$2:$A$200,0)),"?"))</f>
        <v/>
      </c>
      <c r="G186" s="11" t="str">
        <f t="shared" si="8"/>
        <v/>
      </c>
      <c r="H186" s="7" t="str">
        <f ca="1">IF(AND(A186="",B186="",C186="",D186=""),"",IF(OR(A186="",B186="",C186="",D186=""),"Fout: niet alle verplichte velden gevuld",IF(ISNA(MATCH(B186,Scholingen!$A$2:$A$200,0)),"Fout: C_ID bestaat niet in Scholingen",IF(OR(NOT(ISNUMBER(C186)),NOT(ISNUMBER(D186))),"Fout: begin-/eindtijd is geen datum+tijd",IF(D186&lt;=C186,"Fout: eindtijd ligt niet na begintijd",IF(INT(D186)&lt;&gt;INT(C186),"Fout: eindigt op een andere dag (één regel per dag)",IF(COUNTIFS($A$2:$A$200,A186,$B$2:$B$200,B186,$C$2:$C$200,C186)&gt;1,"Fout: dubbele inschrijving",IF(C186&lt;TODAY(),"Let op: ligt in het verleden, wordt geen dienst","OK"))))))))</f>
        <v/>
      </c>
    </row>
    <row r="187" spans="1:8" x14ac:dyDescent="0.25">
      <c r="A187" s="8"/>
      <c r="B187" s="5"/>
      <c r="C187" s="9"/>
      <c r="D187" s="9"/>
      <c r="E187" s="10"/>
      <c r="F187" s="7" t="str">
        <f>IF(B187="","",IFERROR(INDEX(Scholingen!$B$2:$B$200,MATCH(B187,Scholingen!$A$2:$A$200,0)),"?"))</f>
        <v/>
      </c>
      <c r="G187" s="11" t="str">
        <f t="shared" si="8"/>
        <v/>
      </c>
      <c r="H187" s="7" t="str">
        <f ca="1">IF(AND(A187="",B187="",C187="",D187=""),"",IF(OR(A187="",B187="",C187="",D187=""),"Fout: niet alle verplichte velden gevuld",IF(ISNA(MATCH(B187,Scholingen!$A$2:$A$200,0)),"Fout: C_ID bestaat niet in Scholingen",IF(OR(NOT(ISNUMBER(C187)),NOT(ISNUMBER(D187))),"Fout: begin-/eindtijd is geen datum+tijd",IF(D187&lt;=C187,"Fout: eindtijd ligt niet na begintijd",IF(INT(D187)&lt;&gt;INT(C187),"Fout: eindigt op een andere dag (één regel per dag)",IF(COUNTIFS($A$2:$A$200,A187,$B$2:$B$200,B187,$C$2:$C$200,C187)&gt;1,"Fout: dubbele inschrijving",IF(C187&lt;TODAY(),"Let op: ligt in het verleden, wordt geen dienst","OK"))))))))</f>
        <v/>
      </c>
    </row>
    <row r="188" spans="1:8" x14ac:dyDescent="0.25">
      <c r="A188" s="8"/>
      <c r="B188" s="5"/>
      <c r="C188" s="9"/>
      <c r="D188" s="9"/>
      <c r="E188" s="10"/>
      <c r="F188" s="7" t="str">
        <f>IF(B188="","",IFERROR(INDEX(Scholingen!$B$2:$B$200,MATCH(B188,Scholingen!$A$2:$A$200,0)),"?"))</f>
        <v/>
      </c>
      <c r="G188" s="11" t="str">
        <f t="shared" si="8"/>
        <v/>
      </c>
      <c r="H188" s="7" t="str">
        <f ca="1">IF(AND(A188="",B188="",C188="",D188=""),"",IF(OR(A188="",B188="",C188="",D188=""),"Fout: niet alle verplichte velden gevuld",IF(ISNA(MATCH(B188,Scholingen!$A$2:$A$200,0)),"Fout: C_ID bestaat niet in Scholingen",IF(OR(NOT(ISNUMBER(C188)),NOT(ISNUMBER(D188))),"Fout: begin-/eindtijd is geen datum+tijd",IF(D188&lt;=C188,"Fout: eindtijd ligt niet na begintijd",IF(INT(D188)&lt;&gt;INT(C188),"Fout: eindigt op een andere dag (één regel per dag)",IF(COUNTIFS($A$2:$A$200,A188,$B$2:$B$200,B188,$C$2:$C$200,C188)&gt;1,"Fout: dubbele inschrijving",IF(C188&lt;TODAY(),"Let op: ligt in het verleden, wordt geen dienst","OK"))))))))</f>
        <v/>
      </c>
    </row>
    <row r="189" spans="1:8" x14ac:dyDescent="0.25">
      <c r="A189" s="8"/>
      <c r="B189" s="5"/>
      <c r="C189" s="9"/>
      <c r="D189" s="9"/>
      <c r="E189" s="10"/>
      <c r="F189" s="7" t="str">
        <f>IF(B189="","",IFERROR(INDEX(Scholingen!$B$2:$B$200,MATCH(B189,Scholingen!$A$2:$A$200,0)),"?"))</f>
        <v/>
      </c>
      <c r="G189" s="11" t="str">
        <f t="shared" si="8"/>
        <v/>
      </c>
      <c r="H189" s="7" t="str">
        <f ca="1">IF(AND(A189="",B189="",C189="",D189=""),"",IF(OR(A189="",B189="",C189="",D189=""),"Fout: niet alle verplichte velden gevuld",IF(ISNA(MATCH(B189,Scholingen!$A$2:$A$200,0)),"Fout: C_ID bestaat niet in Scholingen",IF(OR(NOT(ISNUMBER(C189)),NOT(ISNUMBER(D189))),"Fout: begin-/eindtijd is geen datum+tijd",IF(D189&lt;=C189,"Fout: eindtijd ligt niet na begintijd",IF(INT(D189)&lt;&gt;INT(C189),"Fout: eindigt op een andere dag (één regel per dag)",IF(COUNTIFS($A$2:$A$200,A189,$B$2:$B$200,B189,$C$2:$C$200,C189)&gt;1,"Fout: dubbele inschrijving",IF(C189&lt;TODAY(),"Let op: ligt in het verleden, wordt geen dienst","OK"))))))))</f>
        <v/>
      </c>
    </row>
    <row r="190" spans="1:8" x14ac:dyDescent="0.25">
      <c r="A190" s="8"/>
      <c r="B190" s="5"/>
      <c r="C190" s="9"/>
      <c r="D190" s="9"/>
      <c r="E190" s="10"/>
      <c r="F190" s="7" t="str">
        <f>IF(B190="","",IFERROR(INDEX(Scholingen!$B$2:$B$200,MATCH(B190,Scholingen!$A$2:$A$200,0)),"?"))</f>
        <v/>
      </c>
      <c r="G190" s="11" t="str">
        <f t="shared" si="8"/>
        <v/>
      </c>
      <c r="H190" s="7" t="str">
        <f ca="1">IF(AND(A190="",B190="",C190="",D190=""),"",IF(OR(A190="",B190="",C190="",D190=""),"Fout: niet alle verplichte velden gevuld",IF(ISNA(MATCH(B190,Scholingen!$A$2:$A$200,0)),"Fout: C_ID bestaat niet in Scholingen",IF(OR(NOT(ISNUMBER(C190)),NOT(ISNUMBER(D190))),"Fout: begin-/eindtijd is geen datum+tijd",IF(D190&lt;=C190,"Fout: eindtijd ligt niet na begintijd",IF(INT(D190)&lt;&gt;INT(C190),"Fout: eindigt op een andere dag (één regel per dag)",IF(COUNTIFS($A$2:$A$200,A190,$B$2:$B$200,B190,$C$2:$C$200,C190)&gt;1,"Fout: dubbele inschrijving",IF(C190&lt;TODAY(),"Let op: ligt in het verleden, wordt geen dienst","OK"))))))))</f>
        <v/>
      </c>
    </row>
    <row r="191" spans="1:8" x14ac:dyDescent="0.25">
      <c r="A191" s="8"/>
      <c r="B191" s="5"/>
      <c r="C191" s="9"/>
      <c r="D191" s="9"/>
      <c r="E191" s="10"/>
      <c r="F191" s="7" t="str">
        <f>IF(B191="","",IFERROR(INDEX(Scholingen!$B$2:$B$200,MATCH(B191,Scholingen!$A$2:$A$200,0)),"?"))</f>
        <v/>
      </c>
      <c r="G191" s="11" t="str">
        <f t="shared" si="8"/>
        <v/>
      </c>
      <c r="H191" s="7" t="str">
        <f ca="1">IF(AND(A191="",B191="",C191="",D191=""),"",IF(OR(A191="",B191="",C191="",D191=""),"Fout: niet alle verplichte velden gevuld",IF(ISNA(MATCH(B191,Scholingen!$A$2:$A$200,0)),"Fout: C_ID bestaat niet in Scholingen",IF(OR(NOT(ISNUMBER(C191)),NOT(ISNUMBER(D191))),"Fout: begin-/eindtijd is geen datum+tijd",IF(D191&lt;=C191,"Fout: eindtijd ligt niet na begintijd",IF(INT(D191)&lt;&gt;INT(C191),"Fout: eindigt op een andere dag (één regel per dag)",IF(COUNTIFS($A$2:$A$200,A191,$B$2:$B$200,B191,$C$2:$C$200,C191)&gt;1,"Fout: dubbele inschrijving",IF(C191&lt;TODAY(),"Let op: ligt in het verleden, wordt geen dienst","OK"))))))))</f>
        <v/>
      </c>
    </row>
    <row r="192" spans="1:8" x14ac:dyDescent="0.25">
      <c r="A192" s="8"/>
      <c r="B192" s="5"/>
      <c r="C192" s="9"/>
      <c r="D192" s="9"/>
      <c r="E192" s="10"/>
      <c r="F192" s="7" t="str">
        <f>IF(B192="","",IFERROR(INDEX(Scholingen!$B$2:$B$200,MATCH(B192,Scholingen!$A$2:$A$200,0)),"?"))</f>
        <v/>
      </c>
      <c r="G192" s="11" t="str">
        <f t="shared" si="8"/>
        <v/>
      </c>
      <c r="H192" s="7" t="str">
        <f ca="1">IF(AND(A192="",B192="",C192="",D192=""),"",IF(OR(A192="",B192="",C192="",D192=""),"Fout: niet alle verplichte velden gevuld",IF(ISNA(MATCH(B192,Scholingen!$A$2:$A$200,0)),"Fout: C_ID bestaat niet in Scholingen",IF(OR(NOT(ISNUMBER(C192)),NOT(ISNUMBER(D192))),"Fout: begin-/eindtijd is geen datum+tijd",IF(D192&lt;=C192,"Fout: eindtijd ligt niet na begintijd",IF(INT(D192)&lt;&gt;INT(C192),"Fout: eindigt op een andere dag (één regel per dag)",IF(COUNTIFS($A$2:$A$200,A192,$B$2:$B$200,B192,$C$2:$C$200,C192)&gt;1,"Fout: dubbele inschrijving",IF(C192&lt;TODAY(),"Let op: ligt in het verleden, wordt geen dienst","OK"))))))))</f>
        <v/>
      </c>
    </row>
    <row r="193" spans="1:8" x14ac:dyDescent="0.25">
      <c r="A193" s="8"/>
      <c r="B193" s="5"/>
      <c r="C193" s="9"/>
      <c r="D193" s="9"/>
      <c r="E193" s="10"/>
      <c r="F193" s="7" t="str">
        <f>IF(B193="","",IFERROR(INDEX(Scholingen!$B$2:$B$200,MATCH(B193,Scholingen!$A$2:$A$200,0)),"?"))</f>
        <v/>
      </c>
      <c r="G193" s="11" t="str">
        <f t="shared" si="8"/>
        <v/>
      </c>
      <c r="H193" s="7" t="str">
        <f ca="1">IF(AND(A193="",B193="",C193="",D193=""),"",IF(OR(A193="",B193="",C193="",D193=""),"Fout: niet alle verplichte velden gevuld",IF(ISNA(MATCH(B193,Scholingen!$A$2:$A$200,0)),"Fout: C_ID bestaat niet in Scholingen",IF(OR(NOT(ISNUMBER(C193)),NOT(ISNUMBER(D193))),"Fout: begin-/eindtijd is geen datum+tijd",IF(D193&lt;=C193,"Fout: eindtijd ligt niet na begintijd",IF(INT(D193)&lt;&gt;INT(C193),"Fout: eindigt op een andere dag (één regel per dag)",IF(COUNTIFS($A$2:$A$200,A193,$B$2:$B$200,B193,$C$2:$C$200,C193)&gt;1,"Fout: dubbele inschrijving",IF(C193&lt;TODAY(),"Let op: ligt in het verleden, wordt geen dienst","OK"))))))))</f>
        <v/>
      </c>
    </row>
    <row r="194" spans="1:8" x14ac:dyDescent="0.25">
      <c r="A194" s="8"/>
      <c r="B194" s="5"/>
      <c r="C194" s="9"/>
      <c r="D194" s="9"/>
      <c r="E194" s="10"/>
      <c r="F194" s="7" t="str">
        <f>IF(B194="","",IFERROR(INDEX(Scholingen!$B$2:$B$200,MATCH(B194,Scholingen!$A$2:$A$200,0)),"?"))</f>
        <v/>
      </c>
      <c r="G194" s="11" t="str">
        <f t="shared" ref="G194:G200" si="9">IF(AND(ISNUMBER(C194),ISNUMBER(D194)),(D194-C194)*24,"")</f>
        <v/>
      </c>
      <c r="H194" s="7" t="str">
        <f ca="1">IF(AND(A194="",B194="",C194="",D194=""),"",IF(OR(A194="",B194="",C194="",D194=""),"Fout: niet alle verplichte velden gevuld",IF(ISNA(MATCH(B194,Scholingen!$A$2:$A$200,0)),"Fout: C_ID bestaat niet in Scholingen",IF(OR(NOT(ISNUMBER(C194)),NOT(ISNUMBER(D194))),"Fout: begin-/eindtijd is geen datum+tijd",IF(D194&lt;=C194,"Fout: eindtijd ligt niet na begintijd",IF(INT(D194)&lt;&gt;INT(C194),"Fout: eindigt op een andere dag (één regel per dag)",IF(COUNTIFS($A$2:$A$200,A194,$B$2:$B$200,B194,$C$2:$C$200,C194)&gt;1,"Fout: dubbele inschrijving",IF(C194&lt;TODAY(),"Let op: ligt in het verleden, wordt geen dienst","OK"))))))))</f>
        <v/>
      </c>
    </row>
    <row r="195" spans="1:8" x14ac:dyDescent="0.25">
      <c r="A195" s="8"/>
      <c r="B195" s="5"/>
      <c r="C195" s="9"/>
      <c r="D195" s="9"/>
      <c r="E195" s="10"/>
      <c r="F195" s="7" t="str">
        <f>IF(B195="","",IFERROR(INDEX(Scholingen!$B$2:$B$200,MATCH(B195,Scholingen!$A$2:$A$200,0)),"?"))</f>
        <v/>
      </c>
      <c r="G195" s="11" t="str">
        <f t="shared" si="9"/>
        <v/>
      </c>
      <c r="H195" s="7" t="str">
        <f ca="1">IF(AND(A195="",B195="",C195="",D195=""),"",IF(OR(A195="",B195="",C195="",D195=""),"Fout: niet alle verplichte velden gevuld",IF(ISNA(MATCH(B195,Scholingen!$A$2:$A$200,0)),"Fout: C_ID bestaat niet in Scholingen",IF(OR(NOT(ISNUMBER(C195)),NOT(ISNUMBER(D195))),"Fout: begin-/eindtijd is geen datum+tijd",IF(D195&lt;=C195,"Fout: eindtijd ligt niet na begintijd",IF(INT(D195)&lt;&gt;INT(C195),"Fout: eindigt op een andere dag (één regel per dag)",IF(COUNTIFS($A$2:$A$200,A195,$B$2:$B$200,B195,$C$2:$C$200,C195)&gt;1,"Fout: dubbele inschrijving",IF(C195&lt;TODAY(),"Let op: ligt in het verleden, wordt geen dienst","OK"))))))))</f>
        <v/>
      </c>
    </row>
    <row r="196" spans="1:8" x14ac:dyDescent="0.25">
      <c r="A196" s="8"/>
      <c r="B196" s="5"/>
      <c r="C196" s="9"/>
      <c r="D196" s="9"/>
      <c r="E196" s="10"/>
      <c r="F196" s="7" t="str">
        <f>IF(B196="","",IFERROR(INDEX(Scholingen!$B$2:$B$200,MATCH(B196,Scholingen!$A$2:$A$200,0)),"?"))</f>
        <v/>
      </c>
      <c r="G196" s="11" t="str">
        <f t="shared" si="9"/>
        <v/>
      </c>
      <c r="H196" s="7" t="str">
        <f ca="1">IF(AND(A196="",B196="",C196="",D196=""),"",IF(OR(A196="",B196="",C196="",D196=""),"Fout: niet alle verplichte velden gevuld",IF(ISNA(MATCH(B196,Scholingen!$A$2:$A$200,0)),"Fout: C_ID bestaat niet in Scholingen",IF(OR(NOT(ISNUMBER(C196)),NOT(ISNUMBER(D196))),"Fout: begin-/eindtijd is geen datum+tijd",IF(D196&lt;=C196,"Fout: eindtijd ligt niet na begintijd",IF(INT(D196)&lt;&gt;INT(C196),"Fout: eindigt op een andere dag (één regel per dag)",IF(COUNTIFS($A$2:$A$200,A196,$B$2:$B$200,B196,$C$2:$C$200,C196)&gt;1,"Fout: dubbele inschrijving",IF(C196&lt;TODAY(),"Let op: ligt in het verleden, wordt geen dienst","OK"))))))))</f>
        <v/>
      </c>
    </row>
    <row r="197" spans="1:8" x14ac:dyDescent="0.25">
      <c r="A197" s="8"/>
      <c r="B197" s="5"/>
      <c r="C197" s="9"/>
      <c r="D197" s="9"/>
      <c r="E197" s="10"/>
      <c r="F197" s="7" t="str">
        <f>IF(B197="","",IFERROR(INDEX(Scholingen!$B$2:$B$200,MATCH(B197,Scholingen!$A$2:$A$200,0)),"?"))</f>
        <v/>
      </c>
      <c r="G197" s="11" t="str">
        <f t="shared" si="9"/>
        <v/>
      </c>
      <c r="H197" s="7" t="str">
        <f ca="1">IF(AND(A197="",B197="",C197="",D197=""),"",IF(OR(A197="",B197="",C197="",D197=""),"Fout: niet alle verplichte velden gevuld",IF(ISNA(MATCH(B197,Scholingen!$A$2:$A$200,0)),"Fout: C_ID bestaat niet in Scholingen",IF(OR(NOT(ISNUMBER(C197)),NOT(ISNUMBER(D197))),"Fout: begin-/eindtijd is geen datum+tijd",IF(D197&lt;=C197,"Fout: eindtijd ligt niet na begintijd",IF(INT(D197)&lt;&gt;INT(C197),"Fout: eindigt op een andere dag (één regel per dag)",IF(COUNTIFS($A$2:$A$200,A197,$B$2:$B$200,B197,$C$2:$C$200,C197)&gt;1,"Fout: dubbele inschrijving",IF(C197&lt;TODAY(),"Let op: ligt in het verleden, wordt geen dienst","OK"))))))))</f>
        <v/>
      </c>
    </row>
    <row r="198" spans="1:8" x14ac:dyDescent="0.25">
      <c r="A198" s="8"/>
      <c r="B198" s="5"/>
      <c r="C198" s="9"/>
      <c r="D198" s="9"/>
      <c r="E198" s="10"/>
      <c r="F198" s="7" t="str">
        <f>IF(B198="","",IFERROR(INDEX(Scholingen!$B$2:$B$200,MATCH(B198,Scholingen!$A$2:$A$200,0)),"?"))</f>
        <v/>
      </c>
      <c r="G198" s="11" t="str">
        <f t="shared" si="9"/>
        <v/>
      </c>
      <c r="H198" s="7" t="str">
        <f ca="1">IF(AND(A198="",B198="",C198="",D198=""),"",IF(OR(A198="",B198="",C198="",D198=""),"Fout: niet alle verplichte velden gevuld",IF(ISNA(MATCH(B198,Scholingen!$A$2:$A$200,0)),"Fout: C_ID bestaat niet in Scholingen",IF(OR(NOT(ISNUMBER(C198)),NOT(ISNUMBER(D198))),"Fout: begin-/eindtijd is geen datum+tijd",IF(D198&lt;=C198,"Fout: eindtijd ligt niet na begintijd",IF(INT(D198)&lt;&gt;INT(C198),"Fout: eindigt op een andere dag (één regel per dag)",IF(COUNTIFS($A$2:$A$200,A198,$B$2:$B$200,B198,$C$2:$C$200,C198)&gt;1,"Fout: dubbele inschrijving",IF(C198&lt;TODAY(),"Let op: ligt in het verleden, wordt geen dienst","OK"))))))))</f>
        <v/>
      </c>
    </row>
    <row r="199" spans="1:8" x14ac:dyDescent="0.25">
      <c r="A199" s="8"/>
      <c r="B199" s="5"/>
      <c r="C199" s="9"/>
      <c r="D199" s="9"/>
      <c r="E199" s="10"/>
      <c r="F199" s="7" t="str">
        <f>IF(B199="","",IFERROR(INDEX(Scholingen!$B$2:$B$200,MATCH(B199,Scholingen!$A$2:$A$200,0)),"?"))</f>
        <v/>
      </c>
      <c r="G199" s="11" t="str">
        <f t="shared" si="9"/>
        <v/>
      </c>
      <c r="H199" s="7" t="str">
        <f ca="1">IF(AND(A199="",B199="",C199="",D199=""),"",IF(OR(A199="",B199="",C199="",D199=""),"Fout: niet alle verplichte velden gevuld",IF(ISNA(MATCH(B199,Scholingen!$A$2:$A$200,0)),"Fout: C_ID bestaat niet in Scholingen",IF(OR(NOT(ISNUMBER(C199)),NOT(ISNUMBER(D199))),"Fout: begin-/eindtijd is geen datum+tijd",IF(D199&lt;=C199,"Fout: eindtijd ligt niet na begintijd",IF(INT(D199)&lt;&gt;INT(C199),"Fout: eindigt op een andere dag (één regel per dag)",IF(COUNTIFS($A$2:$A$200,A199,$B$2:$B$200,B199,$C$2:$C$200,C199)&gt;1,"Fout: dubbele inschrijving",IF(C199&lt;TODAY(),"Let op: ligt in het verleden, wordt geen dienst","OK"))))))))</f>
        <v/>
      </c>
    </row>
    <row r="200" spans="1:8" x14ac:dyDescent="0.25">
      <c r="A200" s="8"/>
      <c r="B200" s="5"/>
      <c r="C200" s="9"/>
      <c r="D200" s="9"/>
      <c r="E200" s="10"/>
      <c r="F200" s="7" t="str">
        <f>IF(B200="","",IFERROR(INDEX(Scholingen!$B$2:$B$200,MATCH(B200,Scholingen!$A$2:$A$200,0)),"?"))</f>
        <v/>
      </c>
      <c r="G200" s="11" t="str">
        <f t="shared" si="9"/>
        <v/>
      </c>
      <c r="H200" s="7" t="str">
        <f ca="1">IF(AND(A200="",B200="",C200="",D200=""),"",IF(OR(A200="",B200="",C200="",D200=""),"Fout: niet alle verplichte velden gevuld",IF(ISNA(MATCH(B200,Scholingen!$A$2:$A$200,0)),"Fout: C_ID bestaat niet in Scholingen",IF(OR(NOT(ISNUMBER(C200)),NOT(ISNUMBER(D200))),"Fout: begin-/eindtijd is geen datum+tijd",IF(D200&lt;=C200,"Fout: eindtijd ligt niet na begintijd",IF(INT(D200)&lt;&gt;INT(C200),"Fout: eindigt op een andere dag (één regel per dag)",IF(COUNTIFS($A$2:$A$200,A200,$B$2:$B$200,B200,$C$2:$C$200,C200)&gt;1,"Fout: dubbele inschrijving",IF(C200&lt;TODAY(),"Let op: ligt in het verleden, wordt geen dienst","OK"))))))))</f>
        <v/>
      </c>
    </row>
  </sheetData>
  <autoFilter ref="A1:H200" xr:uid="{00000000-0009-0000-0000-000002000000}"/>
  <phoneticPr fontId="8" type="noConversion"/>
  <conditionalFormatting sqref="H2:H200">
    <cfRule type="expression" dxfId="2" priority="1">
      <formula>H2="OK"</formula>
    </cfRule>
    <cfRule type="expression" dxfId="1" priority="2">
      <formula>LEFT(H2,7)="Let op:"</formula>
    </cfRule>
    <cfRule type="expression" dxfId="0" priority="3">
      <formula>LEFT(H2,5)="Fout:"</formula>
    </cfRule>
  </conditionalFormatting>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allowBlank="1" showErrorMessage="1" errorTitle="Onbekende scholing" error="Kies een ID dat in het tabblad Scholingen staat." xr:uid="{00000000-0002-0000-0200-000000000000}">
          <x14:formula1>
            <xm:f>Scholingen!$A$2:$A$200</xm:f>
          </x14:formula1>
          <xm:sqref>B2:B200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Toelichting</vt:lpstr>
      <vt:lpstr>Scholingen</vt:lpstr>
      <vt:lpstr>Inschrijvingen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de Jong</cp:lastModifiedBy>
  <dcterms:created xsi:type="dcterms:W3CDTF">2026-10-12T08:18:33Z</dcterms:created>
  <dcterms:modified xsi:type="dcterms:W3CDTF">2026-10-13T08:57:49Z</dcterms:modified>
</cp:coreProperties>
</file>